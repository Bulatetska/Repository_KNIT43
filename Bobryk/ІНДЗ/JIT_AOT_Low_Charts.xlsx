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X\Downloads\"/>
    </mc:Choice>
  </mc:AlternateContent>
  <xr:revisionPtr revIDLastSave="0" documentId="13_ncr:1_{29ABEEE8-C15E-415D-BF26-93630D8FC33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Діаграми" sheetId="1" r:id="rId1"/>
    <sheet name="Дан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2" i="2" l="1"/>
  <c r="J92" i="2"/>
  <c r="G92" i="2"/>
  <c r="F92" i="2"/>
  <c r="K91" i="2"/>
  <c r="J91" i="2"/>
  <c r="G91" i="2"/>
  <c r="F91" i="2"/>
  <c r="K90" i="2"/>
  <c r="J90" i="2"/>
  <c r="G90" i="2"/>
  <c r="F90" i="2"/>
  <c r="K89" i="2"/>
  <c r="J89" i="2"/>
  <c r="G89" i="2"/>
  <c r="F89" i="2"/>
  <c r="K84" i="2"/>
  <c r="J84" i="2"/>
  <c r="G84" i="2"/>
  <c r="F84" i="2"/>
  <c r="C84" i="2"/>
  <c r="B84" i="2"/>
  <c r="K83" i="2"/>
  <c r="J83" i="2"/>
  <c r="G83" i="2"/>
  <c r="F83" i="2"/>
  <c r="C83" i="2"/>
  <c r="B83" i="2"/>
  <c r="K82" i="2"/>
  <c r="J82" i="2"/>
  <c r="G82" i="2"/>
  <c r="F82" i="2"/>
  <c r="C82" i="2"/>
  <c r="B82" i="2"/>
  <c r="K81" i="2"/>
  <c r="J81" i="2"/>
  <c r="G81" i="2"/>
  <c r="F81" i="2"/>
  <c r="C81" i="2"/>
  <c r="B81" i="2"/>
  <c r="H29" i="2"/>
  <c r="G29" i="2"/>
  <c r="F29" i="2"/>
  <c r="E29" i="2"/>
  <c r="C93" i="2" s="1"/>
  <c r="D29" i="2"/>
  <c r="H28" i="2"/>
  <c r="G28" i="2"/>
  <c r="F28" i="2"/>
  <c r="E28" i="2"/>
  <c r="B93" i="2" s="1"/>
  <c r="D28" i="2"/>
  <c r="H27" i="2"/>
  <c r="G27" i="2"/>
  <c r="F27" i="2"/>
  <c r="E27" i="2"/>
  <c r="C92" i="2" s="1"/>
  <c r="D27" i="2"/>
  <c r="H26" i="2"/>
  <c r="G26" i="2"/>
  <c r="F26" i="2"/>
  <c r="E26" i="2"/>
  <c r="C91" i="2" s="1"/>
  <c r="D26" i="2"/>
  <c r="H25" i="2"/>
  <c r="G25" i="2"/>
  <c r="F25" i="2"/>
  <c r="E25" i="2"/>
  <c r="B92" i="2" s="1"/>
  <c r="D25" i="2"/>
  <c r="H24" i="2"/>
  <c r="G24" i="2"/>
  <c r="F24" i="2"/>
  <c r="E24" i="2"/>
  <c r="B91" i="2" s="1"/>
  <c r="D24" i="2"/>
  <c r="I23" i="2"/>
  <c r="H23" i="2"/>
  <c r="G23" i="2"/>
  <c r="F23" i="2"/>
  <c r="E23" i="2"/>
  <c r="C90" i="2" s="1"/>
  <c r="D23" i="2"/>
  <c r="F55" i="1" s="1"/>
  <c r="I22" i="2"/>
  <c r="H22" i="2"/>
  <c r="G22" i="2"/>
  <c r="F22" i="2"/>
  <c r="E22" i="2"/>
  <c r="B90" i="2" s="1"/>
  <c r="D22" i="2"/>
  <c r="H21" i="2"/>
  <c r="G21" i="2"/>
  <c r="F21" i="2"/>
  <c r="E21" i="2"/>
  <c r="C89" i="2" s="1"/>
  <c r="D21" i="2"/>
  <c r="H20" i="2"/>
  <c r="G20" i="2"/>
  <c r="F20" i="2"/>
  <c r="E20" i="2"/>
  <c r="B89" i="2" s="1"/>
  <c r="D20" i="2"/>
  <c r="F58" i="1"/>
  <c r="E58" i="1"/>
  <c r="F57" i="1"/>
  <c r="E57" i="1"/>
  <c r="C57" i="1"/>
  <c r="B57" i="1"/>
  <c r="D57" i="1" s="1"/>
  <c r="F56" i="1"/>
  <c r="E56" i="1"/>
  <c r="C56" i="1"/>
  <c r="E55" i="1"/>
  <c r="C55" i="1"/>
  <c r="F54" i="1"/>
  <c r="E54" i="1"/>
  <c r="B54" i="1"/>
  <c r="B55" i="1" l="1"/>
  <c r="D55" i="1" s="1"/>
  <c r="B58" i="1"/>
  <c r="C58" i="1"/>
  <c r="D58" i="1" s="1"/>
  <c r="C54" i="1"/>
  <c r="D54" i="1" s="1"/>
  <c r="B56" i="1"/>
  <c r="D56" i="1" s="1"/>
</calcChain>
</file>

<file path=xl/sharedStrings.xml><?xml version="1.0" encoding="utf-8"?>
<sst xmlns="http://schemas.openxmlformats.org/spreadsheetml/2006/main" count="238" uniqueCount="91">
  <si>
    <t>JIT та Native AOT: результати низького навантаження</t>
  </si>
  <si>
    <t>Рівень low. .NET 9.0.20. Усі діаграми побудовані за новою серією з 8 запусків.</t>
  </si>
  <si>
    <t>Як працює прогрів</t>
  </si>
  <si>
    <t>32 виклики — це мінімум. Цикл завершується, коли одночасно виконано не менше 32 викликів і минуло не менше 500 мс.</t>
  </si>
  <si>
    <t>Коли один виклик швидкий, за цей час їх можуть бути тисячі. У задачі 1: JIT — 8715 викликів, Native AOT — 9957.</t>
  </si>
  <si>
    <t>1717 викликів було в попередньому прикладі. Кількість залежить від швидкості викликів і може змінюватися між запусками.</t>
  </si>
  <si>
    <t>Після циклу є додаткова пауза 150 мс. Вона включена у загальний час на діаграмі, тому задачі 1–3 мають близько 650–665 мс.</t>
  </si>
  <si>
    <t>У задачі 4 один виклик містить асинхронні очікування. Для 32 викликів знадобилося понад 5 секунд. 500 мс — нижня межа.</t>
  </si>
  <si>
    <t>Native AOT проходить той самий підготовчий етап. Показаний час — тривалість Warmup(), а не точний час роботи JIT-компілятора.</t>
  </si>
  <si>
    <t>Прогрів виконується на малих даних. Три прогріті повтори після нього виконують повний тест обраного рівня low.</t>
  </si>
  <si>
    <t>У наданому журналі є сумарний час і кількість викликів прогріву. Часу кожного з них немає, тому графік окремих викликів не побудовано.</t>
  </si>
  <si>
    <t>На діаграмі прогріву підписи округлено до цілих мілісекунд. Точні значення збережено на аркуші «Дані».</t>
  </si>
  <si>
    <t>Час виконання після прогріву</t>
  </si>
  <si>
    <t>На лівій діаграмі час JIT прийнято за 100%. Менше 100% означає коротший час AOT. У таблиці Δ показує відхилення від JIT.</t>
  </si>
  <si>
    <t>Медіана — середнє за порядком із трьох значень, відсортованих за величиною. Перший виклик і етап прогріву в неї не входять.</t>
  </si>
  <si>
    <t>Задача / операція</t>
  </si>
  <si>
    <t>JIT, мс</t>
  </si>
  <si>
    <t>AOT, мс</t>
  </si>
  <si>
    <t>Δ часу</t>
  </si>
  <si>
    <t>Перший JIT, мс</t>
  </si>
  <si>
    <t>Перший AOT, мс</t>
  </si>
  <si>
    <t>Що показала ця серія</t>
  </si>
  <si>
    <t>1. Матриці</t>
  </si>
  <si>
    <t>AOT має менші медіани у задачах 1–3.</t>
  </si>
  <si>
    <t>2. GC</t>
  </si>
  <si>
    <t>Для Async різниця становить лише близько 0,42%.</t>
  </si>
  <si>
    <t>3. Запис</t>
  </si>
  <si>
    <t>З трьох повторів не можна довести сталу перевагу.</t>
  </si>
  <si>
    <t>3. Читання</t>
  </si>
  <si>
    <t>У Task3 відрізняється і спосіб роботи з JSON:</t>
  </si>
  <si>
    <t>4. Async</t>
  </si>
  <si>
    <t>JIT використовує Reflection, AOT — Source Generator.</t>
  </si>
  <si>
    <t>Як читати показники пам’яті та розміру</t>
  </si>
  <si>
    <t>Пік RAM — найбільший робочий набір за життя процесу. Для запису й читання JSON наведено один спільний пік сеансу.</t>
  </si>
  <si>
    <t>«Виділено, MiB» — сума керованих виділень за конкретний виміряний виклик. Це інший показник, ніж RAM процесу.</t>
  </si>
  <si>
    <t>У задачі 1 «Виділено» дорівнює 0,00 MiB: масиви створені перед вимірюванням множення, хоча вони займають RAM.</t>
  </si>
  <si>
    <t>Розмір EXE — розмір запущеного готового файлу на диску. 1 MiB = 1 048 576 байт. Точні байти є на аркуші «Дані».</t>
  </si>
  <si>
    <t>У цій серії AOT має менший холодний старт, менший EXE і нижчий пік RAM у всіх чотирьох задачах.</t>
  </si>
  <si>
    <t>Висновки стосуються навантаження low на цьому комп’ютері. Результатів medium та high у цій серії немає.</t>
  </si>
  <si>
    <t>Умови навантаження low</t>
  </si>
  <si>
    <t>Задача 1: множення матриць 500 × 500, SIMD — 8 float у векторі. Прогрів: матриці 64 × 64.</t>
  </si>
  <si>
    <t>Задача 2: 100 000 об’єктів, LOH не використовується. Прогрів: 4000 об’єктів за один виклик.</t>
  </si>
  <si>
    <t>Задача 3: 1000 об’єктів UserSession, JSON — 0,48 MiB. Прогрів: запис і читання 32 об’єктів за один виклик.</t>
  </si>
  <si>
    <t>Задача 4: 1000 асинхронних операцій, конкурентність 10. Прогрів: 100 операцій із конкурентністю 10 за один виклик.</t>
  </si>
  <si>
    <t>Конкурентність — кількість одночасно активних обробників. Фактичну кількість потоків ThreadPool наведено в даних.</t>
  </si>
  <si>
    <t>Джерело: консольні результати користувача, отримані 13.10.2026. Рівень low, .NET 9.0.20.</t>
  </si>
  <si>
    <t>Порожні клітинки: показник не наведено для цієї задачі. Число 0 — виміряне нульове значення.</t>
  </si>
  <si>
    <t>Показники сеансів</t>
  </si>
  <si>
    <t>Задача</t>
  </si>
  <si>
    <t>Режим</t>
  </si>
  <si>
    <t>Холодний старт, мс</t>
  </si>
  <si>
    <t>Прогрів із паузою, мс</t>
  </si>
  <si>
    <t>Викликів прогріву</t>
  </si>
  <si>
    <t>EXE, байт</t>
  </si>
  <si>
    <t>EXE, MiB у консолі</t>
  </si>
  <si>
    <t>Пік RAM, MiB</t>
  </si>
  <si>
    <t>JSON, MiB</t>
  </si>
  <si>
    <t>JIT</t>
  </si>
  <si>
    <t>Native AOT</t>
  </si>
  <si>
    <t>Усі перевірки результатів у журналі: OK. Задача 1: 500 × 500, SIMD — 8 float. Задача 2: 100 000 об’єктів, без LOH.</t>
  </si>
  <si>
    <t>Задача 3: 1000 UserSession, JIT + Reflection та AOT + Source Generator. Задача 4: 1000 операцій, конкурентність 10.</t>
  </si>
  <si>
    <t>Розрахунки за виміряними викликами</t>
  </si>
  <si>
    <t>Операція</t>
  </si>
  <si>
    <t>Перший виклик, мс</t>
  </si>
  <si>
    <t>Медіана 1–3, мс</t>
  </si>
  <si>
    <t>Мінімум 1–3, мс</t>
  </si>
  <si>
    <t>Максимум 1–3, мс</t>
  </si>
  <si>
    <t>Медіана виділено, MiB</t>
  </si>
  <si>
    <t>Медіана пауз GC, мс</t>
  </si>
  <si>
    <t>Матриці</t>
  </si>
  <si>
    <t>Об’єкти та GC</t>
  </si>
  <si>
    <t>Запис JSON</t>
  </si>
  <si>
    <t>Читання JSON</t>
  </si>
  <si>
    <t>Async</t>
  </si>
  <si>
    <t>Вихідні вимірювання. Виклик 0 — перший, виклики 1–3 — прогріті повтори повного тесту.</t>
  </si>
  <si>
    <t>Сеанс</t>
  </si>
  <si>
    <t>Виклик</t>
  </si>
  <si>
    <t>Час, мс</t>
  </si>
  <si>
    <t>Виділено, MiB</t>
  </si>
  <si>
    <t>RAM після, MiB</t>
  </si>
  <si>
    <t>GC Gen0</t>
  </si>
  <si>
    <t>GC Gen1</t>
  </si>
  <si>
    <t>GC Gen2</t>
  </si>
  <si>
    <t>Пауза GC, мс</t>
  </si>
  <si>
    <t>ThreadPool на початку</t>
  </si>
  <si>
    <t>Пік ThreadPool</t>
  </si>
  <si>
    <t>До піку пулу, мс</t>
  </si>
  <si>
    <t>Медиани, мінімум і максимум обчислені формулами тільки з повторів 1–3. Перший виклик у них не входить.</t>
  </si>
  <si>
    <t>Нижче — таблиці для діаграм. Значення пов’язані формулами з вихідними даними; Δ = (AOT / JIT − 1) × 100%.</t>
  </si>
  <si>
    <t>3. JSON</t>
  </si>
  <si>
    <t>JIT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</si>
</sst>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02938"/>
      <name val="Arial"/>
    </font>
    <font>
      <b/>
      <sz val="17"/>
      <color rgb="FF202938"/>
      <name val="Arial"/>
    </font>
    <font>
      <b/>
      <sz val="11"/>
      <color rgb="FF202938"/>
      <name val="Arial"/>
    </font>
    <font>
      <b/>
      <sz val="11"/>
      <color rgb="FFFFFFFF"/>
      <name val="Arial"/>
    </font>
    <font>
      <sz val="11"/>
      <color rgb="FF202938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54D70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0D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4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0" fontId="1" fillId="3" borderId="0" xfId="1" applyFont="1" applyFill="1" applyAlignment="1">
      <alignment vertical="center"/>
    </xf>
    <xf numFmtId="4" fontId="1" fillId="3" borderId="0" xfId="1" applyNumberFormat="1" applyFont="1" applyFill="1" applyAlignment="1">
      <alignment vertical="center"/>
    </xf>
    <xf numFmtId="3" fontId="1" fillId="3" borderId="0" xfId="1" applyNumberFormat="1" applyFont="1" applyFill="1" applyAlignment="1">
      <alignment vertical="center"/>
    </xf>
    <xf numFmtId="0" fontId="5" fillId="0" borderId="0" xfId="1" applyFont="1" applyAlignment="1">
      <alignment vertical="center"/>
    </xf>
    <xf numFmtId="2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10" fontId="1" fillId="0" borderId="0" xfId="1" applyNumberFormat="1" applyFont="1" applyAlignment="1">
      <alignment vertical="center"/>
    </xf>
    <xf numFmtId="0" fontId="1" fillId="3" borderId="0" xfId="1" applyFont="1" applyFill="1" applyAlignment="1">
      <alignment vertical="center" wrapText="1"/>
    </xf>
    <xf numFmtId="10" fontId="1" fillId="3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c:style val="2"/>
  <c:chart>
    <c:title>
      <c:tx>
        <c:rich>
          <a:bodyPr/>
          <a:lstStyle/>
          <a:p>
            <a:r>
              <a:rPr lang="uk-UA" sz="1350">
                <a:latin typeface="Arial"/>
                <a:ea typeface="Arial"/>
                <a:cs typeface="Arial"/>
              </a:rPr>
              <a:t>Загальний час прогріву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</c:v>
          </c:tx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Дані!$A$81:$A$84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Дані!$B$81:$B$84</c:f>
              <c:numCache>
                <c:formatCode>0</c:formatCode>
                <c:ptCount val="4"/>
                <c:pt idx="0">
                  <c:v>664.95</c:v>
                </c:pt>
                <c:pt idx="1">
                  <c:v>654.03</c:v>
                </c:pt>
                <c:pt idx="2">
                  <c:v>665.29</c:v>
                </c:pt>
                <c:pt idx="3">
                  <c:v>5249.71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5-4056-B4EE-CE09AFC8AE1C}"/>
            </c:ext>
          </c:extLst>
        </c:ser>
        <c:ser>
          <c:idx val="1"/>
          <c:order val="1"/>
          <c:tx>
            <c:v>Native AOT</c:v>
          </c:tx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Дані!$A$81:$A$84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Дані!$C$81:$C$84</c:f>
              <c:numCache>
                <c:formatCode>0</c:formatCode>
                <c:ptCount val="4"/>
                <c:pt idx="0">
                  <c:v>663.04</c:v>
                </c:pt>
                <c:pt idx="1">
                  <c:v>655.63</c:v>
                </c:pt>
                <c:pt idx="2">
                  <c:v>658.52</c:v>
                </c:pt>
                <c:pt idx="3">
                  <c:v>5257.4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5-4056-B4EE-CE09AFC8AE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  <a:endParaRPr lang="uk-UA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uk-UA"/>
                  <a:t>Час, мс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75">
                <a:latin typeface="Arial"/>
                <a:ea typeface="Arial"/>
                <a:cs typeface="Arial"/>
              </a:defRPr>
            </a:pPr>
            <a:endParaRPr lang="uk-UA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  <a:endParaRPr lang="uk-UA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c:style val="2"/>
  <c:chart>
    <c:title>
      <c:tx>
        <c:rich>
          <a:bodyPr/>
          <a:lstStyle/>
          <a:p>
            <a:r>
              <a:rPr lang="uk-UA" sz="1350">
                <a:latin typeface="Arial"/>
                <a:ea typeface="Arial"/>
                <a:cs typeface="Arial"/>
              </a:rPr>
              <a:t>Кількість викликів прогріву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255703613971333"/>
          <c:y val="0.14713725490196081"/>
          <c:w val="0.81752843394575681"/>
          <c:h val="0.67041408059286711"/>
        </c:manualLayout>
      </c:layout>
      <c:barChart>
        <c:barDir val="col"/>
        <c:grouping val="clustered"/>
        <c:varyColors val="0"/>
        <c:ser>
          <c:idx val="0"/>
          <c:order val="0"/>
          <c:tx>
            <c:v>JIT</c:v>
          </c:tx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Дані!$E$81:$E$84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Дані!$F$81:$F$84</c:f>
              <c:numCache>
                <c:formatCode>#,##0</c:formatCode>
                <c:ptCount val="4"/>
                <c:pt idx="0">
                  <c:v>8715</c:v>
                </c:pt>
                <c:pt idx="1">
                  <c:v>7160</c:v>
                </c:pt>
                <c:pt idx="2">
                  <c:v>1441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7-4730-939C-1DC1ACBA1A08}"/>
            </c:ext>
          </c:extLst>
        </c:ser>
        <c:ser>
          <c:idx val="1"/>
          <c:order val="1"/>
          <c:tx>
            <c:v>Native AOT</c:v>
          </c:tx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Дані!$E$81:$E$84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Дані!$G$81:$G$84</c:f>
              <c:numCache>
                <c:formatCode>#,##0</c:formatCode>
                <c:ptCount val="4"/>
                <c:pt idx="0">
                  <c:v>9957</c:v>
                </c:pt>
                <c:pt idx="1">
                  <c:v>7608</c:v>
                </c:pt>
                <c:pt idx="2">
                  <c:v>3185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7-4730-939C-1DC1ACBA1A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  <a:endParaRPr lang="uk-UA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uk-UA"/>
                  <a:t>Виклики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975">
                <a:latin typeface="Arial"/>
                <a:ea typeface="Arial"/>
                <a:cs typeface="Arial"/>
              </a:defRPr>
            </a:pPr>
            <a:endParaRPr lang="uk-UA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  <a:endParaRPr lang="uk-UA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c:style val="2"/>
  <c:chart>
    <c:title>
      <c:tx>
        <c:rich>
          <a:bodyPr/>
          <a:lstStyle/>
          <a:p>
            <a:r>
              <a:rPr lang="uk-UA" sz="1350">
                <a:latin typeface="Arial"/>
                <a:ea typeface="Arial"/>
                <a:cs typeface="Arial"/>
              </a:rPr>
              <a:t>Прогрітий час відносно </a:t>
            </a:r>
            <a:r>
              <a:rPr lang="en-US" sz="1350">
                <a:latin typeface="Arial"/>
                <a:ea typeface="Arial"/>
                <a:cs typeface="Arial"/>
              </a:rPr>
              <a:t>JIT (100%)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 (100%)</c:v>
          </c:tx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Дані!$A$89:$A$93</c:f>
              <c:strCache>
                <c:ptCount val="5"/>
                <c:pt idx="0">
                  <c:v>1. Матриці</c:v>
                </c:pt>
                <c:pt idx="1">
                  <c:v>2. GC</c:v>
                </c:pt>
                <c:pt idx="2">
                  <c:v>3. Запис</c:v>
                </c:pt>
                <c:pt idx="3">
                  <c:v>3. Читання</c:v>
                </c:pt>
                <c:pt idx="4">
                  <c:v>4. Async</c:v>
                </c:pt>
              </c:strCache>
            </c:strRef>
          </c:cat>
          <c:val>
            <c:numRef>
              <c:f>Дані!$B$89:$B$93</c:f>
              <c:numCache>
                <c:formatCode>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C-4DA2-A240-60B0FCF56BEF}"/>
            </c:ext>
          </c:extLst>
        </c:ser>
        <c:ser>
          <c:idx val="1"/>
          <c:order val="1"/>
          <c:tx>
            <c:v>Native AOT</c:v>
          </c:tx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Дані!$A$89:$A$93</c:f>
              <c:strCache>
                <c:ptCount val="5"/>
                <c:pt idx="0">
                  <c:v>1. Матриці</c:v>
                </c:pt>
                <c:pt idx="1">
                  <c:v>2. GC</c:v>
                </c:pt>
                <c:pt idx="2">
                  <c:v>3. Запис</c:v>
                </c:pt>
                <c:pt idx="3">
                  <c:v>3. Читання</c:v>
                </c:pt>
                <c:pt idx="4">
                  <c:v>4. Async</c:v>
                </c:pt>
              </c:strCache>
            </c:strRef>
          </c:cat>
          <c:val>
            <c:numRef>
              <c:f>Дані!$C$89:$C$93</c:f>
              <c:numCache>
                <c:formatCode>0.00</c:formatCode>
                <c:ptCount val="5"/>
                <c:pt idx="0">
                  <c:v>90.639514112182923</c:v>
                </c:pt>
                <c:pt idx="1">
                  <c:v>85.294117647058826</c:v>
                </c:pt>
                <c:pt idx="2">
                  <c:v>43.959731543624166</c:v>
                </c:pt>
                <c:pt idx="3">
                  <c:v>40.970873786407765</c:v>
                </c:pt>
                <c:pt idx="4">
                  <c:v>100.42343380128361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C-4DA2-A240-60B0FCF56B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  <a:endParaRPr lang="uk-UA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uk-UA"/>
                  <a:t>Час відносно </a:t>
                </a:r>
                <a:r>
                  <a:rPr lang="en-US"/>
                  <a:t>JIT, %</a:t>
                </a:r>
              </a:p>
            </c:rich>
          </c:tx>
          <c:overlay val="0"/>
        </c:title>
        <c:numFmt formatCode="0&quot;%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975">
                <a:latin typeface="Arial"/>
                <a:ea typeface="Arial"/>
                <a:cs typeface="Arial"/>
              </a:defRPr>
            </a:pPr>
            <a:endParaRPr lang="uk-UA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  <a:endParaRPr lang="uk-UA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c:style val="2"/>
  <c:chart>
    <c:title>
      <c:tx>
        <c:rich>
          <a:bodyPr/>
          <a:lstStyle/>
          <a:p>
            <a:r>
              <a:rPr lang="uk-UA" sz="1350">
                <a:latin typeface="Arial"/>
                <a:ea typeface="Arial"/>
                <a:cs typeface="Arial"/>
              </a:rPr>
              <a:t>Холодний старт процесу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</c:v>
          </c:tx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Дані!$I$81:$I$84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Дані!$J$81:$J$84</c:f>
              <c:numCache>
                <c:formatCode>0.00</c:formatCode>
                <c:ptCount val="4"/>
                <c:pt idx="0">
                  <c:v>31.13</c:v>
                </c:pt>
                <c:pt idx="1">
                  <c:v>31.53</c:v>
                </c:pt>
                <c:pt idx="2">
                  <c:v>32.03</c:v>
                </c:pt>
                <c:pt idx="3">
                  <c:v>30.42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6-4419-B5D7-9E894CFBC4D1}"/>
            </c:ext>
          </c:extLst>
        </c:ser>
        <c:ser>
          <c:idx val="1"/>
          <c:order val="1"/>
          <c:tx>
            <c:v>Native AOT</c:v>
          </c:tx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Дані!$I$81:$I$84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Дані!$K$81:$K$84</c:f>
              <c:numCache>
                <c:formatCode>0.00</c:formatCode>
                <c:ptCount val="4"/>
                <c:pt idx="0">
                  <c:v>6.98</c:v>
                </c:pt>
                <c:pt idx="1">
                  <c:v>6.76</c:v>
                </c:pt>
                <c:pt idx="2">
                  <c:v>7</c:v>
                </c:pt>
                <c:pt idx="3">
                  <c:v>7.04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76-4419-B5D7-9E894CFBC4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  <a:endParaRPr lang="uk-UA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uk-UA"/>
                  <a:t>Час, мс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75">
                <a:latin typeface="Arial"/>
                <a:ea typeface="Arial"/>
                <a:cs typeface="Arial"/>
              </a:defRPr>
            </a:pPr>
            <a:endParaRPr lang="uk-UA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  <a:endParaRPr lang="uk-UA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c:style val="2"/>
  <c:chart>
    <c:title>
      <c:tx>
        <c:rich>
          <a:bodyPr/>
          <a:lstStyle/>
          <a:p>
            <a:r>
              <a:rPr lang="uk-UA" sz="1350">
                <a:latin typeface="Arial"/>
                <a:ea typeface="Arial"/>
                <a:cs typeface="Arial"/>
              </a:rPr>
              <a:t>Пік робочого набору </a:t>
            </a:r>
            <a:r>
              <a:rPr lang="en-US" sz="1350">
                <a:latin typeface="Arial"/>
                <a:ea typeface="Arial"/>
                <a:cs typeface="Arial"/>
              </a:rPr>
              <a:t>RAM </a:t>
            </a:r>
            <a:r>
              <a:rPr lang="uk-UA" sz="1350">
                <a:latin typeface="Arial"/>
                <a:ea typeface="Arial"/>
                <a:cs typeface="Arial"/>
              </a:rPr>
              <a:t>за сеанс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</c:v>
          </c:tx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Дані!$E$89:$E$92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Дані!$F$89:$F$92</c:f>
              <c:numCache>
                <c:formatCode>0.00</c:formatCode>
                <c:ptCount val="4"/>
                <c:pt idx="0">
                  <c:v>24.49</c:v>
                </c:pt>
                <c:pt idx="1">
                  <c:v>31.26</c:v>
                </c:pt>
                <c:pt idx="2">
                  <c:v>39.85</c:v>
                </c:pt>
                <c:pt idx="3">
                  <c:v>27.71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2-4C93-B0FE-69D39965D723}"/>
            </c:ext>
          </c:extLst>
        </c:ser>
        <c:ser>
          <c:idx val="1"/>
          <c:order val="1"/>
          <c:tx>
            <c:v>Native AOT</c:v>
          </c:tx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Дані!$E$89:$E$92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Дані!$G$89:$G$92</c:f>
              <c:numCache>
                <c:formatCode>0.00</c:formatCode>
                <c:ptCount val="4"/>
                <c:pt idx="0">
                  <c:v>11.84</c:v>
                </c:pt>
                <c:pt idx="1">
                  <c:v>18.489999999999998</c:v>
                </c:pt>
                <c:pt idx="2">
                  <c:v>14.39</c:v>
                </c:pt>
                <c:pt idx="3">
                  <c:v>10.41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2-4C93-B0FE-69D39965D7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  <a:endParaRPr lang="uk-UA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MiB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75">
                <a:latin typeface="Arial"/>
                <a:ea typeface="Arial"/>
                <a:cs typeface="Arial"/>
              </a:defRPr>
            </a:pPr>
            <a:endParaRPr lang="uk-UA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  <a:endParaRPr lang="uk-UA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c:style val="2"/>
  <c:chart>
    <c:title>
      <c:tx>
        <c:rich>
          <a:bodyPr/>
          <a:lstStyle/>
          <a:p>
            <a:r>
              <a:rPr lang="uk-UA" sz="1350">
                <a:latin typeface="Arial"/>
                <a:ea typeface="Arial"/>
                <a:cs typeface="Arial"/>
              </a:rPr>
              <a:t>Розмір готового файлу </a:t>
            </a:r>
            <a:r>
              <a:rPr lang="en-US" sz="1350">
                <a:latin typeface="Arial"/>
                <a:ea typeface="Arial"/>
                <a:cs typeface="Arial"/>
              </a:rPr>
              <a:t>EXE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JIT</c:v>
          </c:tx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Дані!$I$89:$I$92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Дані!$J$89:$J$92</c:f>
              <c:numCache>
                <c:formatCode>0.00</c:formatCode>
                <c:ptCount val="4"/>
                <c:pt idx="0">
                  <c:v>67.62</c:v>
                </c:pt>
                <c:pt idx="1">
                  <c:v>67.62</c:v>
                </c:pt>
                <c:pt idx="2">
                  <c:v>67.64</c:v>
                </c:pt>
                <c:pt idx="3">
                  <c:v>67.62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B-45B1-BC19-F2B109027DB5}"/>
            </c:ext>
          </c:extLst>
        </c:ser>
        <c:ser>
          <c:idx val="1"/>
          <c:order val="1"/>
          <c:tx>
            <c:v>Native AOT</c:v>
          </c:tx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975">
                    <a:latin typeface="Arial"/>
                    <a:ea typeface="Arial"/>
                    <a:cs typeface="Arial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Дані!$I$89:$I$92</c:f>
              <c:strCache>
                <c:ptCount val="4"/>
                <c:pt idx="0">
                  <c:v>1. Матриці</c:v>
                </c:pt>
                <c:pt idx="1">
                  <c:v>2. GC</c:v>
                </c:pt>
                <c:pt idx="2">
                  <c:v>3. JSON</c:v>
                </c:pt>
                <c:pt idx="3">
                  <c:v>4. Async</c:v>
                </c:pt>
              </c:strCache>
            </c:strRef>
          </c:cat>
          <c:val>
            <c:numRef>
              <c:f>Дані!$K$89:$K$92</c:f>
              <c:numCache>
                <c:formatCode>0.00</c:formatCode>
                <c:ptCount val="4"/>
                <c:pt idx="0">
                  <c:v>1.82</c:v>
                </c:pt>
                <c:pt idx="1">
                  <c:v>1.82</c:v>
                </c:pt>
                <c:pt idx="2">
                  <c:v>2.87</c:v>
                </c:pt>
                <c:pt idx="3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B-45B1-BC19-F2B109027D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  <a:endParaRPr lang="uk-UA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MiB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75">
                <a:latin typeface="Arial"/>
                <a:ea typeface="Arial"/>
                <a:cs typeface="Arial"/>
              </a:defRPr>
            </a:pPr>
            <a:endParaRPr lang="uk-UA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  <a:endParaRPr lang="uk-UA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943600" cy="3238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409575</xdr:colOff>
      <xdr:row>5</xdr:row>
      <xdr:rowOff>9525</xdr:rowOff>
    </xdr:from>
    <xdr:ext cx="5943600" cy="3238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943600" cy="32385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32</xdr:row>
      <xdr:rowOff>0</xdr:rowOff>
    </xdr:from>
    <xdr:ext cx="5943600" cy="32385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61</xdr:row>
      <xdr:rowOff>0</xdr:rowOff>
    </xdr:from>
    <xdr:ext cx="5943600" cy="323850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61</xdr:row>
      <xdr:rowOff>0</xdr:rowOff>
    </xdr:from>
    <xdr:ext cx="5943600" cy="3238500"/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54D70"/>
  </sheetPr>
  <dimension ref="A1:Q115"/>
  <sheetViews>
    <sheetView showGridLines="0" tabSelected="1" topLeftCell="A73" workbookViewId="0">
      <selection activeCell="F90" sqref="F90"/>
    </sheetView>
  </sheetViews>
  <sheetFormatPr defaultRowHeight="14.25"/>
  <cols>
    <col min="1" max="8" width="8.625" customWidth="1"/>
    <col min="9" max="9" width="2.625" customWidth="1"/>
    <col min="10" max="17" width="8.625" customWidth="1"/>
  </cols>
  <sheetData>
    <row r="1" spans="1:17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customHeight="1">
      <c r="A22" s="4" t="s">
        <v>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customHeight="1">
      <c r="A23" s="11" t="s">
        <v>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customHeight="1">
      <c r="A24" s="11" t="s">
        <v>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customHeight="1">
      <c r="A25" s="11" t="s">
        <v>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customHeight="1">
      <c r="A26" s="11" t="s">
        <v>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customHeight="1">
      <c r="A27" s="11" t="s">
        <v>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customHeight="1">
      <c r="A28" s="11" t="s">
        <v>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customHeight="1">
      <c r="A29" s="11" t="s">
        <v>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customHeight="1">
      <c r="A30" s="11" t="s">
        <v>10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customHeight="1">
      <c r="A31" s="11" t="s">
        <v>11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8" customHeight="1">
      <c r="A49" s="4" t="s">
        <v>12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8" customHeight="1">
      <c r="A50" s="11" t="s">
        <v>13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8" customHeight="1">
      <c r="A51" s="11" t="s">
        <v>14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36" customHeight="1">
      <c r="A53" s="5" t="s">
        <v>15</v>
      </c>
      <c r="B53" s="5" t="s">
        <v>16</v>
      </c>
      <c r="C53" s="5" t="s">
        <v>17</v>
      </c>
      <c r="D53" s="5" t="s">
        <v>18</v>
      </c>
      <c r="E53" s="5" t="s">
        <v>19</v>
      </c>
      <c r="F53" s="5" t="s">
        <v>20</v>
      </c>
      <c r="G53" s="1"/>
      <c r="H53" s="1"/>
      <c r="I53" s="1"/>
      <c r="J53" s="4" t="s">
        <v>21</v>
      </c>
      <c r="K53" s="1"/>
      <c r="L53" s="1"/>
      <c r="M53" s="1"/>
      <c r="N53" s="1"/>
      <c r="O53" s="1"/>
      <c r="P53" s="1"/>
      <c r="Q53" s="1"/>
    </row>
    <row r="54" spans="1:17" ht="24" customHeight="1">
      <c r="A54" s="16" t="s">
        <v>22</v>
      </c>
      <c r="B54" s="9">
        <f>Дані!E20</f>
        <v>27.99</v>
      </c>
      <c r="C54" s="9">
        <f>Дані!E21</f>
        <v>25.37</v>
      </c>
      <c r="D54" s="17">
        <f>C54/B54-1</f>
        <v>-9.3604858878170716E-2</v>
      </c>
      <c r="E54" s="9">
        <f>Дані!D20</f>
        <v>29.34</v>
      </c>
      <c r="F54" s="9">
        <f>Дані!D21</f>
        <v>25.6</v>
      </c>
      <c r="G54" s="1"/>
      <c r="H54" s="1"/>
      <c r="I54" s="1"/>
      <c r="J54" s="1" t="s">
        <v>23</v>
      </c>
      <c r="K54" s="1"/>
      <c r="L54" s="1"/>
      <c r="M54" s="1"/>
      <c r="N54" s="1"/>
      <c r="O54" s="1"/>
      <c r="P54" s="1"/>
      <c r="Q54" s="1"/>
    </row>
    <row r="55" spans="1:17" ht="24" customHeight="1">
      <c r="A55" s="14" t="s">
        <v>24</v>
      </c>
      <c r="B55" s="6">
        <f>Дані!E22</f>
        <v>2.04</v>
      </c>
      <c r="C55" s="6">
        <f>Дані!E23</f>
        <v>1.74</v>
      </c>
      <c r="D55" s="15">
        <f>C55/B55-1</f>
        <v>-0.1470588235294118</v>
      </c>
      <c r="E55" s="6">
        <f>Дані!D22</f>
        <v>7.1</v>
      </c>
      <c r="F55" s="6">
        <f>Дані!D23</f>
        <v>4.8499999999999996</v>
      </c>
      <c r="G55" s="1"/>
      <c r="H55" s="1"/>
      <c r="I55" s="1"/>
      <c r="J55" s="1" t="s">
        <v>25</v>
      </c>
      <c r="K55" s="1"/>
      <c r="L55" s="1"/>
      <c r="M55" s="1"/>
      <c r="N55" s="1"/>
      <c r="O55" s="1"/>
      <c r="P55" s="1"/>
      <c r="Q55" s="1"/>
    </row>
    <row r="56" spans="1:17" ht="24" customHeight="1">
      <c r="A56" s="16" t="s">
        <v>26</v>
      </c>
      <c r="B56" s="9">
        <f>Дані!E24</f>
        <v>2.98</v>
      </c>
      <c r="C56" s="9">
        <f>Дані!E26</f>
        <v>1.31</v>
      </c>
      <c r="D56" s="17">
        <f>C56/B56-1</f>
        <v>-0.56040268456375841</v>
      </c>
      <c r="E56" s="9">
        <f>Дані!D24</f>
        <v>51.43</v>
      </c>
      <c r="F56" s="9">
        <f>Дані!D26</f>
        <v>1.69</v>
      </c>
      <c r="G56" s="1"/>
      <c r="H56" s="1"/>
      <c r="I56" s="1"/>
      <c r="J56" s="1" t="s">
        <v>27</v>
      </c>
      <c r="K56" s="1"/>
      <c r="L56" s="1"/>
      <c r="M56" s="1"/>
      <c r="N56" s="1"/>
      <c r="O56" s="1"/>
      <c r="P56" s="1"/>
      <c r="Q56" s="1"/>
    </row>
    <row r="57" spans="1:17" ht="24" customHeight="1">
      <c r="A57" s="14" t="s">
        <v>28</v>
      </c>
      <c r="B57" s="6">
        <f>Дані!E25</f>
        <v>5.15</v>
      </c>
      <c r="C57" s="6">
        <f>Дані!E27</f>
        <v>2.11</v>
      </c>
      <c r="D57" s="15">
        <f>C57/B57-1</f>
        <v>-0.59029126213592242</v>
      </c>
      <c r="E57" s="6">
        <f>Дані!D25</f>
        <v>13.78</v>
      </c>
      <c r="F57" s="6">
        <f>Дані!D27</f>
        <v>2.2200000000000002</v>
      </c>
      <c r="G57" s="1"/>
      <c r="H57" s="1"/>
      <c r="I57" s="1"/>
      <c r="J57" s="1" t="s">
        <v>29</v>
      </c>
      <c r="K57" s="1"/>
      <c r="L57" s="1"/>
      <c r="M57" s="1"/>
      <c r="N57" s="1"/>
      <c r="O57" s="1"/>
      <c r="P57" s="1"/>
      <c r="Q57" s="1"/>
    </row>
    <row r="58" spans="1:17" ht="24" customHeight="1">
      <c r="A58" s="16" t="s">
        <v>30</v>
      </c>
      <c r="B58" s="9">
        <f>Дані!E28</f>
        <v>1579.94</v>
      </c>
      <c r="C58" s="9">
        <f>Дані!E29</f>
        <v>1586.63</v>
      </c>
      <c r="D58" s="17">
        <f>C58/B58-1</f>
        <v>4.2343380128360142E-3</v>
      </c>
      <c r="E58" s="9">
        <f>Дані!D28</f>
        <v>1575.75</v>
      </c>
      <c r="F58" s="9">
        <f>Дані!D29</f>
        <v>1596.92</v>
      </c>
      <c r="G58" s="1"/>
      <c r="H58" s="1"/>
      <c r="I58" s="1"/>
      <c r="J58" s="1" t="s">
        <v>31</v>
      </c>
      <c r="K58" s="1"/>
      <c r="L58" s="1"/>
      <c r="M58" s="1"/>
      <c r="N58" s="1"/>
      <c r="O58" s="1"/>
      <c r="P58" s="1"/>
      <c r="Q58" s="1"/>
    </row>
    <row r="59" spans="1:17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8" customHeight="1">
      <c r="A78" s="4" t="s">
        <v>32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8" customHeight="1">
      <c r="A79" s="11" t="s">
        <v>33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8" customHeight="1">
      <c r="A80" s="11" t="s">
        <v>34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8" customHeight="1">
      <c r="A81" s="11" t="s">
        <v>35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8" customHeight="1">
      <c r="A82" s="11" t="s">
        <v>36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8" customHeight="1">
      <c r="A83" s="11" t="s">
        <v>37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8" customHeight="1">
      <c r="A84" s="11" t="s">
        <v>38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8" customHeight="1">
      <c r="A87" s="4" t="s">
        <v>39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8" customHeight="1">
      <c r="A88" s="11" t="s">
        <v>40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8" customHeight="1">
      <c r="A89" s="11" t="s">
        <v>41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8" customHeight="1">
      <c r="A90" s="11" t="s">
        <v>42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8" customHeight="1">
      <c r="A91" s="11" t="s">
        <v>43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8" customHeight="1">
      <c r="A92" s="11" t="s">
        <v>44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10.5" customWidth="1"/>
    <col min="2" max="2" width="12.5" customWidth="1"/>
    <col min="3" max="3" width="15.5" customWidth="1"/>
    <col min="4" max="4" width="16.625" customWidth="1"/>
    <col min="5" max="5" width="13.125" customWidth="1"/>
    <col min="6" max="6" width="12.5" customWidth="1"/>
    <col min="7" max="7" width="12.25" customWidth="1"/>
    <col min="8" max="8" width="12.5" customWidth="1"/>
    <col min="9" max="9" width="10.25" customWidth="1"/>
    <col min="10" max="11" width="7.25" customWidth="1"/>
    <col min="12" max="12" width="12" customWidth="1"/>
    <col min="13" max="14" width="12.5" customWidth="1"/>
    <col min="15" max="15" width="14" customWidth="1"/>
  </cols>
  <sheetData>
    <row r="1" spans="1:15" ht="18" customHeight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1" t="s">
        <v>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8" customHeight="1">
      <c r="A4" s="4" t="s">
        <v>47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6" customHeight="1">
      <c r="A5" s="5" t="s">
        <v>48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  <c r="J5" s="1"/>
      <c r="K5" s="1"/>
      <c r="L5" s="1"/>
      <c r="M5" s="1"/>
      <c r="N5" s="1"/>
      <c r="O5" s="1"/>
    </row>
    <row r="6" spans="1:15" ht="18" customHeight="1">
      <c r="A6" s="8">
        <v>1</v>
      </c>
      <c r="B6" s="8" t="s">
        <v>57</v>
      </c>
      <c r="C6" s="9">
        <v>31.13</v>
      </c>
      <c r="D6" s="9">
        <v>664.95</v>
      </c>
      <c r="E6" s="10">
        <v>8715</v>
      </c>
      <c r="F6" s="10">
        <v>70902530</v>
      </c>
      <c r="G6" s="9">
        <v>67.62</v>
      </c>
      <c r="H6" s="9">
        <v>24.49</v>
      </c>
      <c r="I6" s="9"/>
      <c r="J6" s="1"/>
      <c r="K6" s="1"/>
      <c r="L6" s="1"/>
      <c r="M6" s="1"/>
      <c r="N6" s="1"/>
      <c r="O6" s="1"/>
    </row>
    <row r="7" spans="1:15" ht="18" customHeight="1">
      <c r="A7" s="1">
        <v>1</v>
      </c>
      <c r="B7" s="1" t="s">
        <v>58</v>
      </c>
      <c r="C7" s="6">
        <v>6.98</v>
      </c>
      <c r="D7" s="6">
        <v>663.04</v>
      </c>
      <c r="E7" s="7">
        <v>9957</v>
      </c>
      <c r="F7" s="7">
        <v>1904640</v>
      </c>
      <c r="G7" s="6">
        <v>1.82</v>
      </c>
      <c r="H7" s="6">
        <v>11.84</v>
      </c>
      <c r="I7" s="6"/>
      <c r="J7" s="1"/>
      <c r="K7" s="1"/>
      <c r="L7" s="1"/>
      <c r="M7" s="1"/>
      <c r="N7" s="1"/>
      <c r="O7" s="1"/>
    </row>
    <row r="8" spans="1:15" ht="18" customHeight="1">
      <c r="A8" s="8">
        <v>2</v>
      </c>
      <c r="B8" s="8" t="s">
        <v>57</v>
      </c>
      <c r="C8" s="9">
        <v>31.53</v>
      </c>
      <c r="D8" s="9">
        <v>654.03</v>
      </c>
      <c r="E8" s="10">
        <v>7160</v>
      </c>
      <c r="F8" s="10">
        <v>70902530</v>
      </c>
      <c r="G8" s="9">
        <v>67.62</v>
      </c>
      <c r="H8" s="9">
        <v>31.26</v>
      </c>
      <c r="I8" s="9"/>
      <c r="J8" s="1"/>
      <c r="K8" s="1"/>
      <c r="L8" s="1"/>
      <c r="M8" s="1"/>
      <c r="N8" s="1"/>
      <c r="O8" s="1"/>
    </row>
    <row r="9" spans="1:15" ht="18" customHeight="1">
      <c r="A9" s="1">
        <v>2</v>
      </c>
      <c r="B9" s="1" t="s">
        <v>58</v>
      </c>
      <c r="C9" s="6">
        <v>6.76</v>
      </c>
      <c r="D9" s="6">
        <v>655.63</v>
      </c>
      <c r="E9" s="7">
        <v>7608</v>
      </c>
      <c r="F9" s="7">
        <v>1906688</v>
      </c>
      <c r="G9" s="6">
        <v>1.82</v>
      </c>
      <c r="H9" s="6">
        <v>18.489999999999998</v>
      </c>
      <c r="I9" s="6"/>
      <c r="J9" s="1"/>
      <c r="K9" s="1"/>
      <c r="L9" s="1"/>
      <c r="M9" s="1"/>
      <c r="N9" s="1"/>
      <c r="O9" s="1"/>
    </row>
    <row r="10" spans="1:15" ht="18" customHeight="1">
      <c r="A10" s="8">
        <v>3</v>
      </c>
      <c r="B10" s="8" t="s">
        <v>57</v>
      </c>
      <c r="C10" s="9">
        <v>32.03</v>
      </c>
      <c r="D10" s="9">
        <v>665.29</v>
      </c>
      <c r="E10" s="10">
        <v>1441</v>
      </c>
      <c r="F10" s="10">
        <v>70923010</v>
      </c>
      <c r="G10" s="9">
        <v>67.64</v>
      </c>
      <c r="H10" s="9">
        <v>39.85</v>
      </c>
      <c r="I10" s="9">
        <v>0.48</v>
      </c>
      <c r="J10" s="1"/>
      <c r="K10" s="1"/>
      <c r="L10" s="1"/>
      <c r="M10" s="1"/>
      <c r="N10" s="1"/>
      <c r="O10" s="1"/>
    </row>
    <row r="11" spans="1:15" ht="18" customHeight="1">
      <c r="A11" s="1">
        <v>3</v>
      </c>
      <c r="B11" s="1" t="s">
        <v>58</v>
      </c>
      <c r="C11" s="6">
        <v>7</v>
      </c>
      <c r="D11" s="6">
        <v>658.52</v>
      </c>
      <c r="E11" s="7">
        <v>3185</v>
      </c>
      <c r="F11" s="7">
        <v>3006976</v>
      </c>
      <c r="G11" s="6">
        <v>2.87</v>
      </c>
      <c r="H11" s="6">
        <v>14.39</v>
      </c>
      <c r="I11" s="6">
        <v>0.48</v>
      </c>
      <c r="J11" s="1"/>
      <c r="K11" s="1"/>
      <c r="L11" s="1"/>
      <c r="M11" s="1"/>
      <c r="N11" s="1"/>
      <c r="O11" s="1"/>
    </row>
    <row r="12" spans="1:15" ht="18" customHeight="1">
      <c r="A12" s="8">
        <v>4</v>
      </c>
      <c r="B12" s="8" t="s">
        <v>57</v>
      </c>
      <c r="C12" s="9">
        <v>30.42</v>
      </c>
      <c r="D12" s="9">
        <v>5249.71</v>
      </c>
      <c r="E12" s="10">
        <v>32</v>
      </c>
      <c r="F12" s="10">
        <v>70906626</v>
      </c>
      <c r="G12" s="9">
        <v>67.62</v>
      </c>
      <c r="H12" s="9">
        <v>27.71</v>
      </c>
      <c r="I12" s="9"/>
      <c r="J12" s="1"/>
      <c r="K12" s="1"/>
      <c r="L12" s="1"/>
      <c r="M12" s="1"/>
      <c r="N12" s="1"/>
      <c r="O12" s="1"/>
    </row>
    <row r="13" spans="1:15" ht="18" customHeight="1">
      <c r="A13" s="1">
        <v>4</v>
      </c>
      <c r="B13" s="1" t="s">
        <v>58</v>
      </c>
      <c r="C13" s="6">
        <v>7.04</v>
      </c>
      <c r="D13" s="6">
        <v>5257.4</v>
      </c>
      <c r="E13" s="7">
        <v>32</v>
      </c>
      <c r="F13" s="7">
        <v>1987072</v>
      </c>
      <c r="G13" s="6">
        <v>1.9</v>
      </c>
      <c r="H13" s="6">
        <v>10.41</v>
      </c>
      <c r="I13" s="6"/>
      <c r="J13" s="1"/>
      <c r="K13" s="1"/>
      <c r="L13" s="1"/>
      <c r="M13" s="1"/>
      <c r="N13" s="1"/>
      <c r="O13" s="1"/>
    </row>
    <row r="14" spans="1:15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" customHeight="1">
      <c r="A15" s="11" t="s">
        <v>59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" customHeight="1">
      <c r="A16" s="11" t="s">
        <v>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" customHeight="1">
      <c r="A18" s="4" t="s">
        <v>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36" customHeight="1">
      <c r="A19" s="5" t="s">
        <v>48</v>
      </c>
      <c r="B19" s="5" t="s">
        <v>49</v>
      </c>
      <c r="C19" s="5" t="s">
        <v>62</v>
      </c>
      <c r="D19" s="5" t="s">
        <v>63</v>
      </c>
      <c r="E19" s="5" t="s">
        <v>64</v>
      </c>
      <c r="F19" s="5" t="s">
        <v>65</v>
      </c>
      <c r="G19" s="5" t="s">
        <v>66</v>
      </c>
      <c r="H19" s="5" t="s">
        <v>67</v>
      </c>
      <c r="I19" s="5" t="s">
        <v>68</v>
      </c>
      <c r="J19" s="1"/>
      <c r="K19" s="1"/>
      <c r="L19" s="1"/>
      <c r="M19" s="1"/>
      <c r="N19" s="1"/>
      <c r="O19" s="1"/>
    </row>
    <row r="20" spans="1:15" ht="18" customHeight="1">
      <c r="A20" s="8">
        <v>1</v>
      </c>
      <c r="B20" s="8" t="s">
        <v>57</v>
      </c>
      <c r="C20" s="8" t="s">
        <v>69</v>
      </c>
      <c r="D20" s="9">
        <f>F34</f>
        <v>29.34</v>
      </c>
      <c r="E20" s="9">
        <f>MEDIAN(F35,F36,F37)</f>
        <v>27.99</v>
      </c>
      <c r="F20" s="9">
        <f>MIN(F35,F36,F37)</f>
        <v>27.86</v>
      </c>
      <c r="G20" s="9">
        <f>MAX(F35,F36,F37)</f>
        <v>28.5</v>
      </c>
      <c r="H20" s="9">
        <f>MEDIAN(G35,G36,G37)</f>
        <v>0</v>
      </c>
      <c r="I20" s="9"/>
      <c r="J20" s="1"/>
      <c r="K20" s="1"/>
      <c r="L20" s="1"/>
      <c r="M20" s="1"/>
      <c r="N20" s="1"/>
      <c r="O20" s="1"/>
    </row>
    <row r="21" spans="1:15" ht="18" customHeight="1">
      <c r="A21" s="1">
        <v>1</v>
      </c>
      <c r="B21" s="1" t="s">
        <v>58</v>
      </c>
      <c r="C21" s="1" t="s">
        <v>69</v>
      </c>
      <c r="D21" s="6">
        <f>F38</f>
        <v>25.6</v>
      </c>
      <c r="E21" s="6">
        <f>MEDIAN(F39,F40,F41)</f>
        <v>25.37</v>
      </c>
      <c r="F21" s="6">
        <f>MIN(F39,F40,F41)</f>
        <v>25.3</v>
      </c>
      <c r="G21" s="6">
        <f>MAX(F39,F40,F41)</f>
        <v>25.79</v>
      </c>
      <c r="H21" s="6">
        <f>MEDIAN(G39,G40,G41)</f>
        <v>0</v>
      </c>
      <c r="I21" s="6"/>
      <c r="J21" s="1"/>
      <c r="K21" s="1"/>
      <c r="L21" s="1"/>
      <c r="M21" s="1"/>
      <c r="N21" s="1"/>
      <c r="O21" s="1"/>
    </row>
    <row r="22" spans="1:15" ht="18" customHeight="1">
      <c r="A22" s="8">
        <v>2</v>
      </c>
      <c r="B22" s="8" t="s">
        <v>57</v>
      </c>
      <c r="C22" s="8" t="s">
        <v>70</v>
      </c>
      <c r="D22" s="9">
        <f>F42</f>
        <v>7.1</v>
      </c>
      <c r="E22" s="9">
        <f>MEDIAN(F43,F44,F45)</f>
        <v>2.04</v>
      </c>
      <c r="F22" s="9">
        <f>MIN(F43,F44,F45)</f>
        <v>1.99</v>
      </c>
      <c r="G22" s="9">
        <f>MAX(F43,F44,F45)</f>
        <v>2.19</v>
      </c>
      <c r="H22" s="9">
        <f>MEDIAN(G43,G44,G45)</f>
        <v>8.39</v>
      </c>
      <c r="I22" s="9">
        <f>MEDIAN(L43,L44,L45)</f>
        <v>0.68</v>
      </c>
      <c r="J22" s="1"/>
      <c r="K22" s="1"/>
      <c r="L22" s="1"/>
      <c r="M22" s="1"/>
      <c r="N22" s="1"/>
      <c r="O22" s="1"/>
    </row>
    <row r="23" spans="1:15" ht="18" customHeight="1">
      <c r="A23" s="1">
        <v>2</v>
      </c>
      <c r="B23" s="1" t="s">
        <v>58</v>
      </c>
      <c r="C23" s="1" t="s">
        <v>70</v>
      </c>
      <c r="D23" s="6">
        <f>F46</f>
        <v>4.8499999999999996</v>
      </c>
      <c r="E23" s="6">
        <f>MEDIAN(F47,F48,F49)</f>
        <v>1.74</v>
      </c>
      <c r="F23" s="6">
        <f>MIN(F47,F48,F49)</f>
        <v>1.68</v>
      </c>
      <c r="G23" s="6">
        <f>MAX(F47,F48,F49)</f>
        <v>2.0499999999999998</v>
      </c>
      <c r="H23" s="6">
        <f>MEDIAN(G47,G48,G49)</f>
        <v>8.39</v>
      </c>
      <c r="I23" s="6">
        <f>MEDIAN(L47,L48,L49)</f>
        <v>0.48</v>
      </c>
      <c r="J23" s="1"/>
      <c r="K23" s="1"/>
      <c r="L23" s="1"/>
      <c r="M23" s="1"/>
      <c r="N23" s="1"/>
      <c r="O23" s="1"/>
    </row>
    <row r="24" spans="1:15" ht="18" customHeight="1">
      <c r="A24" s="8">
        <v>3</v>
      </c>
      <c r="B24" s="8" t="s">
        <v>57</v>
      </c>
      <c r="C24" s="8" t="s">
        <v>71</v>
      </c>
      <c r="D24" s="9">
        <f>F50</f>
        <v>51.43</v>
      </c>
      <c r="E24" s="9">
        <f>MEDIAN(F52,F54,F56)</f>
        <v>2.98</v>
      </c>
      <c r="F24" s="9">
        <f>MIN(F52,F54,F56)</f>
        <v>2.75</v>
      </c>
      <c r="G24" s="9">
        <f>MAX(F52,F54,F56)</f>
        <v>3.14</v>
      </c>
      <c r="H24" s="9">
        <f>MEDIAN(G52,G54,G56)</f>
        <v>1</v>
      </c>
      <c r="I24" s="9"/>
      <c r="J24" s="1"/>
      <c r="K24" s="1"/>
      <c r="L24" s="1"/>
      <c r="M24" s="1"/>
      <c r="N24" s="1"/>
      <c r="O24" s="1"/>
    </row>
    <row r="25" spans="1:15" ht="18" customHeight="1">
      <c r="A25" s="1">
        <v>3</v>
      </c>
      <c r="B25" s="1" t="s">
        <v>57</v>
      </c>
      <c r="C25" s="1" t="s">
        <v>72</v>
      </c>
      <c r="D25" s="6">
        <f>F51</f>
        <v>13.78</v>
      </c>
      <c r="E25" s="6">
        <f>MEDIAN(F53,F55,F57)</f>
        <v>5.15</v>
      </c>
      <c r="F25" s="6">
        <f>MIN(F53,F55,F57)</f>
        <v>4.95</v>
      </c>
      <c r="G25" s="6">
        <f>MAX(F53,F55,F57)</f>
        <v>5.65</v>
      </c>
      <c r="H25" s="6">
        <f>MEDIAN(G53,G55,G57)</f>
        <v>0.99</v>
      </c>
      <c r="I25" s="6"/>
      <c r="J25" s="1"/>
      <c r="K25" s="1"/>
      <c r="L25" s="1"/>
      <c r="M25" s="1"/>
      <c r="N25" s="1"/>
      <c r="O25" s="1"/>
    </row>
    <row r="26" spans="1:15" ht="18" customHeight="1">
      <c r="A26" s="8">
        <v>3</v>
      </c>
      <c r="B26" s="8" t="s">
        <v>58</v>
      </c>
      <c r="C26" s="8" t="s">
        <v>71</v>
      </c>
      <c r="D26" s="9">
        <f>F58</f>
        <v>1.69</v>
      </c>
      <c r="E26" s="9">
        <f>MEDIAN(F60,F62,F64)</f>
        <v>1.31</v>
      </c>
      <c r="F26" s="9">
        <f>MIN(F60,F62,F64)</f>
        <v>0.94</v>
      </c>
      <c r="G26" s="9">
        <f>MAX(F60,F62,F64)</f>
        <v>1.73</v>
      </c>
      <c r="H26" s="9">
        <f>MEDIAN(G60,G62,G64)</f>
        <v>1</v>
      </c>
      <c r="I26" s="9"/>
      <c r="J26" s="1"/>
      <c r="K26" s="1"/>
      <c r="L26" s="1"/>
      <c r="M26" s="1"/>
      <c r="N26" s="1"/>
      <c r="O26" s="1"/>
    </row>
    <row r="27" spans="1:15" ht="18" customHeight="1">
      <c r="A27" s="1">
        <v>3</v>
      </c>
      <c r="B27" s="1" t="s">
        <v>58</v>
      </c>
      <c r="C27" s="1" t="s">
        <v>72</v>
      </c>
      <c r="D27" s="6">
        <f>F59</f>
        <v>2.2200000000000002</v>
      </c>
      <c r="E27" s="6">
        <f>MEDIAN(F61,F63,F65)</f>
        <v>2.11</v>
      </c>
      <c r="F27" s="6">
        <f>MIN(F61,F63,F65)</f>
        <v>2.0099999999999998</v>
      </c>
      <c r="G27" s="6">
        <f>MAX(F61,F63,F65)</f>
        <v>2.15</v>
      </c>
      <c r="H27" s="6">
        <f>MEDIAN(G61,G63,G65)</f>
        <v>0.99</v>
      </c>
      <c r="I27" s="6"/>
      <c r="J27" s="1"/>
      <c r="K27" s="1"/>
      <c r="L27" s="1"/>
      <c r="M27" s="1"/>
      <c r="N27" s="1"/>
      <c r="O27" s="1"/>
    </row>
    <row r="28" spans="1:15" ht="18" customHeight="1">
      <c r="A28" s="8">
        <v>4</v>
      </c>
      <c r="B28" s="8" t="s">
        <v>57</v>
      </c>
      <c r="C28" s="8" t="s">
        <v>73</v>
      </c>
      <c r="D28" s="9">
        <f>F66</f>
        <v>1575.75</v>
      </c>
      <c r="E28" s="9">
        <f>MEDIAN(F67,F68,F69)</f>
        <v>1579.94</v>
      </c>
      <c r="F28" s="9">
        <f>MIN(F67,F68,F69)</f>
        <v>1574.91</v>
      </c>
      <c r="G28" s="9">
        <f>MAX(F67,F68,F69)</f>
        <v>1585.98</v>
      </c>
      <c r="H28" s="9">
        <f>MEDIAN(G67,G68,G69)</f>
        <v>0.26</v>
      </c>
      <c r="I28" s="9"/>
      <c r="J28" s="1"/>
      <c r="K28" s="1"/>
      <c r="L28" s="1"/>
      <c r="M28" s="1"/>
      <c r="N28" s="1"/>
      <c r="O28" s="1"/>
    </row>
    <row r="29" spans="1:15" ht="18" customHeight="1">
      <c r="A29" s="1">
        <v>4</v>
      </c>
      <c r="B29" s="1" t="s">
        <v>58</v>
      </c>
      <c r="C29" s="1" t="s">
        <v>73</v>
      </c>
      <c r="D29" s="6">
        <f>F70</f>
        <v>1596.92</v>
      </c>
      <c r="E29" s="6">
        <f>MEDIAN(F71,F72,F73)</f>
        <v>1586.63</v>
      </c>
      <c r="F29" s="6">
        <f>MIN(F71,F72,F73)</f>
        <v>1581.39</v>
      </c>
      <c r="G29" s="6">
        <f>MAX(F71,F72,F73)</f>
        <v>1590.06</v>
      </c>
      <c r="H29" s="6">
        <f>MEDIAN(G71,G72,G73)</f>
        <v>0.26</v>
      </c>
      <c r="I29" s="6"/>
      <c r="J29" s="1"/>
      <c r="K29" s="1"/>
      <c r="L29" s="1"/>
      <c r="M29" s="1"/>
      <c r="N29" s="1"/>
      <c r="O29" s="1"/>
    </row>
    <row r="30" spans="1:15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8" customHeight="1">
      <c r="A32" s="1" t="s">
        <v>74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36" customHeight="1">
      <c r="A33" s="5" t="s">
        <v>75</v>
      </c>
      <c r="B33" s="5" t="s">
        <v>48</v>
      </c>
      <c r="C33" s="5" t="s">
        <v>49</v>
      </c>
      <c r="D33" s="5" t="s">
        <v>62</v>
      </c>
      <c r="E33" s="5" t="s">
        <v>76</v>
      </c>
      <c r="F33" s="5" t="s">
        <v>77</v>
      </c>
      <c r="G33" s="5" t="s">
        <v>78</v>
      </c>
      <c r="H33" s="5" t="s">
        <v>79</v>
      </c>
      <c r="I33" s="5" t="s">
        <v>80</v>
      </c>
      <c r="J33" s="5" t="s">
        <v>81</v>
      </c>
      <c r="K33" s="5" t="s">
        <v>82</v>
      </c>
      <c r="L33" s="5" t="s">
        <v>83</v>
      </c>
      <c r="M33" s="5" t="s">
        <v>84</v>
      </c>
      <c r="N33" s="5" t="s">
        <v>85</v>
      </c>
      <c r="O33" s="5" t="s">
        <v>86</v>
      </c>
    </row>
    <row r="34" spans="1:15" ht="18" customHeight="1">
      <c r="A34" s="8">
        <v>1</v>
      </c>
      <c r="B34" s="8">
        <v>1</v>
      </c>
      <c r="C34" s="8" t="s">
        <v>57</v>
      </c>
      <c r="D34" s="8" t="s">
        <v>69</v>
      </c>
      <c r="E34" s="8">
        <v>0</v>
      </c>
      <c r="F34" s="9">
        <v>29.34</v>
      </c>
      <c r="G34" s="9">
        <v>0</v>
      </c>
      <c r="H34" s="9">
        <v>24.29</v>
      </c>
      <c r="I34" s="8"/>
      <c r="J34" s="8"/>
      <c r="K34" s="8"/>
      <c r="L34" s="9"/>
      <c r="M34" s="8"/>
      <c r="N34" s="8"/>
      <c r="O34" s="9"/>
    </row>
    <row r="35" spans="1:15" ht="18" customHeight="1">
      <c r="A35" s="1">
        <v>1</v>
      </c>
      <c r="B35" s="1">
        <v>1</v>
      </c>
      <c r="C35" s="1" t="s">
        <v>57</v>
      </c>
      <c r="D35" s="1" t="s">
        <v>69</v>
      </c>
      <c r="E35" s="1">
        <v>1</v>
      </c>
      <c r="F35" s="6">
        <v>28.5</v>
      </c>
      <c r="G35" s="6">
        <v>0</v>
      </c>
      <c r="H35" s="6">
        <v>24.04</v>
      </c>
      <c r="I35" s="1"/>
      <c r="J35" s="1"/>
      <c r="K35" s="1"/>
      <c r="L35" s="6"/>
      <c r="M35" s="1"/>
      <c r="N35" s="1"/>
      <c r="O35" s="6"/>
    </row>
    <row r="36" spans="1:15" ht="18" customHeight="1">
      <c r="A36" s="8">
        <v>1</v>
      </c>
      <c r="B36" s="8">
        <v>1</v>
      </c>
      <c r="C36" s="8" t="s">
        <v>57</v>
      </c>
      <c r="D36" s="8" t="s">
        <v>69</v>
      </c>
      <c r="E36" s="8">
        <v>2</v>
      </c>
      <c r="F36" s="9">
        <v>27.86</v>
      </c>
      <c r="G36" s="9">
        <v>0</v>
      </c>
      <c r="H36" s="9">
        <v>24.07</v>
      </c>
      <c r="I36" s="8"/>
      <c r="J36" s="8"/>
      <c r="K36" s="8"/>
      <c r="L36" s="9"/>
      <c r="M36" s="8"/>
      <c r="N36" s="8"/>
      <c r="O36" s="9"/>
    </row>
    <row r="37" spans="1:15" ht="18" customHeight="1">
      <c r="A37" s="1">
        <v>1</v>
      </c>
      <c r="B37" s="1">
        <v>1</v>
      </c>
      <c r="C37" s="1" t="s">
        <v>57</v>
      </c>
      <c r="D37" s="1" t="s">
        <v>69</v>
      </c>
      <c r="E37" s="1">
        <v>3</v>
      </c>
      <c r="F37" s="6">
        <v>27.99</v>
      </c>
      <c r="G37" s="6">
        <v>0</v>
      </c>
      <c r="H37" s="6">
        <v>24.09</v>
      </c>
      <c r="I37" s="1"/>
      <c r="J37" s="1"/>
      <c r="K37" s="1"/>
      <c r="L37" s="6"/>
      <c r="M37" s="1"/>
      <c r="N37" s="1"/>
      <c r="O37" s="6"/>
    </row>
    <row r="38" spans="1:15" ht="18" customHeight="1">
      <c r="A38" s="8">
        <v>2</v>
      </c>
      <c r="B38" s="8">
        <v>1</v>
      </c>
      <c r="C38" s="8" t="s">
        <v>58</v>
      </c>
      <c r="D38" s="8" t="s">
        <v>69</v>
      </c>
      <c r="E38" s="8">
        <v>0</v>
      </c>
      <c r="F38" s="9">
        <v>25.6</v>
      </c>
      <c r="G38" s="9">
        <v>0</v>
      </c>
      <c r="H38" s="9">
        <v>11.83</v>
      </c>
      <c r="I38" s="8"/>
      <c r="J38" s="8"/>
      <c r="K38" s="8"/>
      <c r="L38" s="9"/>
      <c r="M38" s="8"/>
      <c r="N38" s="8"/>
      <c r="O38" s="9"/>
    </row>
    <row r="39" spans="1:15" ht="18" customHeight="1">
      <c r="A39" s="1">
        <v>2</v>
      </c>
      <c r="B39" s="1">
        <v>1</v>
      </c>
      <c r="C39" s="1" t="s">
        <v>58</v>
      </c>
      <c r="D39" s="1" t="s">
        <v>69</v>
      </c>
      <c r="E39" s="1">
        <v>1</v>
      </c>
      <c r="F39" s="6">
        <v>25.79</v>
      </c>
      <c r="G39" s="6">
        <v>0</v>
      </c>
      <c r="H39" s="6">
        <v>11.1</v>
      </c>
      <c r="I39" s="1"/>
      <c r="J39" s="1"/>
      <c r="K39" s="1"/>
      <c r="L39" s="6"/>
      <c r="M39" s="1"/>
      <c r="N39" s="1"/>
      <c r="O39" s="6"/>
    </row>
    <row r="40" spans="1:15" ht="18" customHeight="1">
      <c r="A40" s="8">
        <v>2</v>
      </c>
      <c r="B40" s="8">
        <v>1</v>
      </c>
      <c r="C40" s="8" t="s">
        <v>58</v>
      </c>
      <c r="D40" s="8" t="s">
        <v>69</v>
      </c>
      <c r="E40" s="8">
        <v>2</v>
      </c>
      <c r="F40" s="9">
        <v>25.3</v>
      </c>
      <c r="G40" s="9">
        <v>0</v>
      </c>
      <c r="H40" s="9">
        <v>11.11</v>
      </c>
      <c r="I40" s="8"/>
      <c r="J40" s="8"/>
      <c r="K40" s="8"/>
      <c r="L40" s="9"/>
      <c r="M40" s="8"/>
      <c r="N40" s="8"/>
      <c r="O40" s="9"/>
    </row>
    <row r="41" spans="1:15" ht="18" customHeight="1">
      <c r="A41" s="1">
        <v>2</v>
      </c>
      <c r="B41" s="1">
        <v>1</v>
      </c>
      <c r="C41" s="1" t="s">
        <v>58</v>
      </c>
      <c r="D41" s="1" t="s">
        <v>69</v>
      </c>
      <c r="E41" s="1">
        <v>3</v>
      </c>
      <c r="F41" s="6">
        <v>25.37</v>
      </c>
      <c r="G41" s="6">
        <v>0</v>
      </c>
      <c r="H41" s="6">
        <v>11.12</v>
      </c>
      <c r="I41" s="1"/>
      <c r="J41" s="1"/>
      <c r="K41" s="1"/>
      <c r="L41" s="6"/>
      <c r="M41" s="1"/>
      <c r="N41" s="1"/>
      <c r="O41" s="6"/>
    </row>
    <row r="42" spans="1:15" ht="18" customHeight="1">
      <c r="A42" s="8">
        <v>3</v>
      </c>
      <c r="B42" s="8">
        <v>2</v>
      </c>
      <c r="C42" s="8" t="s">
        <v>57</v>
      </c>
      <c r="D42" s="8" t="s">
        <v>70</v>
      </c>
      <c r="E42" s="8">
        <v>0</v>
      </c>
      <c r="F42" s="9">
        <v>7.1</v>
      </c>
      <c r="G42" s="9">
        <v>8.39</v>
      </c>
      <c r="H42" s="9">
        <v>29.79</v>
      </c>
      <c r="I42" s="8">
        <v>2</v>
      </c>
      <c r="J42" s="8">
        <v>1</v>
      </c>
      <c r="K42" s="8">
        <v>0</v>
      </c>
      <c r="L42" s="9">
        <v>2.12</v>
      </c>
      <c r="M42" s="8"/>
      <c r="N42" s="8"/>
      <c r="O42" s="9"/>
    </row>
    <row r="43" spans="1:15" ht="18" customHeight="1">
      <c r="A43" s="1">
        <v>3</v>
      </c>
      <c r="B43" s="1">
        <v>2</v>
      </c>
      <c r="C43" s="1" t="s">
        <v>57</v>
      </c>
      <c r="D43" s="1" t="s">
        <v>70</v>
      </c>
      <c r="E43" s="1">
        <v>1</v>
      </c>
      <c r="F43" s="6">
        <v>2.19</v>
      </c>
      <c r="G43" s="6">
        <v>8.39</v>
      </c>
      <c r="H43" s="6">
        <v>31.17</v>
      </c>
      <c r="I43" s="1">
        <v>1</v>
      </c>
      <c r="J43" s="1">
        <v>0</v>
      </c>
      <c r="K43" s="1">
        <v>0</v>
      </c>
      <c r="L43" s="6">
        <v>0.81</v>
      </c>
      <c r="M43" s="1"/>
      <c r="N43" s="1"/>
      <c r="O43" s="6"/>
    </row>
    <row r="44" spans="1:15" ht="18" customHeight="1">
      <c r="A44" s="8">
        <v>3</v>
      </c>
      <c r="B44" s="8">
        <v>2</v>
      </c>
      <c r="C44" s="8" t="s">
        <v>57</v>
      </c>
      <c r="D44" s="8" t="s">
        <v>70</v>
      </c>
      <c r="E44" s="8">
        <v>2</v>
      </c>
      <c r="F44" s="9">
        <v>1.99</v>
      </c>
      <c r="G44" s="9">
        <v>8.39</v>
      </c>
      <c r="H44" s="9">
        <v>31.23</v>
      </c>
      <c r="I44" s="8">
        <v>1</v>
      </c>
      <c r="J44" s="8">
        <v>0</v>
      </c>
      <c r="K44" s="8">
        <v>0</v>
      </c>
      <c r="L44" s="9">
        <v>0.68</v>
      </c>
      <c r="M44" s="8"/>
      <c r="N44" s="8"/>
      <c r="O44" s="9"/>
    </row>
    <row r="45" spans="1:15" ht="18" customHeight="1">
      <c r="A45" s="1">
        <v>3</v>
      </c>
      <c r="B45" s="1">
        <v>2</v>
      </c>
      <c r="C45" s="1" t="s">
        <v>57</v>
      </c>
      <c r="D45" s="1" t="s">
        <v>70</v>
      </c>
      <c r="E45" s="1">
        <v>3</v>
      </c>
      <c r="F45" s="6">
        <v>2.04</v>
      </c>
      <c r="G45" s="6">
        <v>8.39</v>
      </c>
      <c r="H45" s="6">
        <v>31.25</v>
      </c>
      <c r="I45" s="1">
        <v>1</v>
      </c>
      <c r="J45" s="1">
        <v>0</v>
      </c>
      <c r="K45" s="1">
        <v>0</v>
      </c>
      <c r="L45" s="6">
        <v>0.5</v>
      </c>
      <c r="M45" s="1"/>
      <c r="N45" s="1"/>
      <c r="O45" s="6"/>
    </row>
    <row r="46" spans="1:15" ht="18" customHeight="1">
      <c r="A46" s="8">
        <v>4</v>
      </c>
      <c r="B46" s="8">
        <v>2</v>
      </c>
      <c r="C46" s="8" t="s">
        <v>58</v>
      </c>
      <c r="D46" s="8" t="s">
        <v>70</v>
      </c>
      <c r="E46" s="8">
        <v>0</v>
      </c>
      <c r="F46" s="9">
        <v>4.8499999999999996</v>
      </c>
      <c r="G46" s="9">
        <v>8.39</v>
      </c>
      <c r="H46" s="9">
        <v>17.47</v>
      </c>
      <c r="I46" s="8">
        <v>2</v>
      </c>
      <c r="J46" s="8">
        <v>1</v>
      </c>
      <c r="K46" s="8">
        <v>0</v>
      </c>
      <c r="L46" s="9">
        <v>2.0699999999999998</v>
      </c>
      <c r="M46" s="8"/>
      <c r="N46" s="8"/>
      <c r="O46" s="9"/>
    </row>
    <row r="47" spans="1:15" ht="18" customHeight="1">
      <c r="A47" s="1">
        <v>4</v>
      </c>
      <c r="B47" s="1">
        <v>2</v>
      </c>
      <c r="C47" s="1" t="s">
        <v>58</v>
      </c>
      <c r="D47" s="1" t="s">
        <v>70</v>
      </c>
      <c r="E47" s="1">
        <v>1</v>
      </c>
      <c r="F47" s="6">
        <v>2.0499999999999998</v>
      </c>
      <c r="G47" s="6">
        <v>8.39</v>
      </c>
      <c r="H47" s="6">
        <v>18.41</v>
      </c>
      <c r="I47" s="1">
        <v>1</v>
      </c>
      <c r="J47" s="1">
        <v>0</v>
      </c>
      <c r="K47" s="1">
        <v>0</v>
      </c>
      <c r="L47" s="6">
        <v>0.69</v>
      </c>
      <c r="M47" s="1"/>
      <c r="N47" s="1"/>
      <c r="O47" s="6"/>
    </row>
    <row r="48" spans="1:15" ht="18" customHeight="1">
      <c r="A48" s="8">
        <v>4</v>
      </c>
      <c r="B48" s="8">
        <v>2</v>
      </c>
      <c r="C48" s="8" t="s">
        <v>58</v>
      </c>
      <c r="D48" s="8" t="s">
        <v>70</v>
      </c>
      <c r="E48" s="8">
        <v>2</v>
      </c>
      <c r="F48" s="9">
        <v>1.68</v>
      </c>
      <c r="G48" s="9">
        <v>8.39</v>
      </c>
      <c r="H48" s="9">
        <v>18.399999999999999</v>
      </c>
      <c r="I48" s="8">
        <v>1</v>
      </c>
      <c r="J48" s="8">
        <v>0</v>
      </c>
      <c r="K48" s="8">
        <v>0</v>
      </c>
      <c r="L48" s="9">
        <v>0.48</v>
      </c>
      <c r="M48" s="8"/>
      <c r="N48" s="8"/>
      <c r="O48" s="9"/>
    </row>
    <row r="49" spans="1:15" ht="18" customHeight="1">
      <c r="A49" s="1">
        <v>4</v>
      </c>
      <c r="B49" s="1">
        <v>2</v>
      </c>
      <c r="C49" s="1" t="s">
        <v>58</v>
      </c>
      <c r="D49" s="1" t="s">
        <v>70</v>
      </c>
      <c r="E49" s="1">
        <v>3</v>
      </c>
      <c r="F49" s="6">
        <v>1.74</v>
      </c>
      <c r="G49" s="6">
        <v>8.39</v>
      </c>
      <c r="H49" s="6">
        <v>18.399999999999999</v>
      </c>
      <c r="I49" s="1">
        <v>1</v>
      </c>
      <c r="J49" s="1">
        <v>0</v>
      </c>
      <c r="K49" s="1">
        <v>0</v>
      </c>
      <c r="L49" s="6">
        <v>0.44</v>
      </c>
      <c r="M49" s="1"/>
      <c r="N49" s="1"/>
      <c r="O49" s="6"/>
    </row>
    <row r="50" spans="1:15" ht="18" customHeight="1">
      <c r="A50" s="8">
        <v>5</v>
      </c>
      <c r="B50" s="8">
        <v>3</v>
      </c>
      <c r="C50" s="8" t="s">
        <v>57</v>
      </c>
      <c r="D50" s="8" t="s">
        <v>71</v>
      </c>
      <c r="E50" s="8">
        <v>0</v>
      </c>
      <c r="F50" s="9">
        <v>51.43</v>
      </c>
      <c r="G50" s="9">
        <v>1.21</v>
      </c>
      <c r="H50" s="9">
        <v>28.46</v>
      </c>
      <c r="I50" s="8"/>
      <c r="J50" s="8"/>
      <c r="K50" s="8"/>
      <c r="L50" s="9"/>
      <c r="M50" s="8"/>
      <c r="N50" s="8"/>
      <c r="O50" s="9"/>
    </row>
    <row r="51" spans="1:15" ht="18" customHeight="1">
      <c r="A51" s="1">
        <v>5</v>
      </c>
      <c r="B51" s="1">
        <v>3</v>
      </c>
      <c r="C51" s="1" t="s">
        <v>57</v>
      </c>
      <c r="D51" s="1" t="s">
        <v>72</v>
      </c>
      <c r="E51" s="1">
        <v>0</v>
      </c>
      <c r="F51" s="6">
        <v>13.78</v>
      </c>
      <c r="G51" s="6">
        <v>1</v>
      </c>
      <c r="H51" s="6">
        <v>28.91</v>
      </c>
      <c r="I51" s="1"/>
      <c r="J51" s="1"/>
      <c r="K51" s="1"/>
      <c r="L51" s="6"/>
      <c r="M51" s="1"/>
      <c r="N51" s="1"/>
      <c r="O51" s="6"/>
    </row>
    <row r="52" spans="1:15" ht="18" customHeight="1">
      <c r="A52" s="8">
        <v>5</v>
      </c>
      <c r="B52" s="8">
        <v>3</v>
      </c>
      <c r="C52" s="8" t="s">
        <v>57</v>
      </c>
      <c r="D52" s="8" t="s">
        <v>71</v>
      </c>
      <c r="E52" s="8">
        <v>1</v>
      </c>
      <c r="F52" s="9">
        <v>2.75</v>
      </c>
      <c r="G52" s="9">
        <v>1</v>
      </c>
      <c r="H52" s="9">
        <v>34.01</v>
      </c>
      <c r="I52" s="8"/>
      <c r="J52" s="8"/>
      <c r="K52" s="8"/>
      <c r="L52" s="9"/>
      <c r="M52" s="8"/>
      <c r="N52" s="8"/>
      <c r="O52" s="9"/>
    </row>
    <row r="53" spans="1:15" ht="18" customHeight="1">
      <c r="A53" s="1">
        <v>5</v>
      </c>
      <c r="B53" s="1">
        <v>3</v>
      </c>
      <c r="C53" s="1" t="s">
        <v>57</v>
      </c>
      <c r="D53" s="1" t="s">
        <v>72</v>
      </c>
      <c r="E53" s="1">
        <v>1</v>
      </c>
      <c r="F53" s="6">
        <v>5.15</v>
      </c>
      <c r="G53" s="6">
        <v>0.99</v>
      </c>
      <c r="H53" s="6">
        <v>35.020000000000003</v>
      </c>
      <c r="I53" s="1"/>
      <c r="J53" s="1"/>
      <c r="K53" s="1"/>
      <c r="L53" s="6"/>
      <c r="M53" s="1"/>
      <c r="N53" s="1"/>
      <c r="O53" s="6"/>
    </row>
    <row r="54" spans="1:15" ht="18" customHeight="1">
      <c r="A54" s="8">
        <v>5</v>
      </c>
      <c r="B54" s="8">
        <v>3</v>
      </c>
      <c r="C54" s="8" t="s">
        <v>57</v>
      </c>
      <c r="D54" s="8" t="s">
        <v>71</v>
      </c>
      <c r="E54" s="8">
        <v>2</v>
      </c>
      <c r="F54" s="9">
        <v>2.98</v>
      </c>
      <c r="G54" s="9">
        <v>1</v>
      </c>
      <c r="H54" s="9">
        <v>35.04</v>
      </c>
      <c r="I54" s="8"/>
      <c r="J54" s="8"/>
      <c r="K54" s="8"/>
      <c r="L54" s="9"/>
      <c r="M54" s="8"/>
      <c r="N54" s="8"/>
      <c r="O54" s="9"/>
    </row>
    <row r="55" spans="1:15" ht="18" customHeight="1">
      <c r="A55" s="1">
        <v>5</v>
      </c>
      <c r="B55" s="1">
        <v>3</v>
      </c>
      <c r="C55" s="1" t="s">
        <v>57</v>
      </c>
      <c r="D55" s="1" t="s">
        <v>72</v>
      </c>
      <c r="E55" s="1">
        <v>2</v>
      </c>
      <c r="F55" s="6">
        <v>4.95</v>
      </c>
      <c r="G55" s="6">
        <v>0.99</v>
      </c>
      <c r="H55" s="6">
        <v>35.04</v>
      </c>
      <c r="I55" s="1"/>
      <c r="J55" s="1"/>
      <c r="K55" s="1"/>
      <c r="L55" s="6"/>
      <c r="M55" s="1"/>
      <c r="N55" s="1"/>
      <c r="O55" s="6"/>
    </row>
    <row r="56" spans="1:15" ht="18" customHeight="1">
      <c r="A56" s="8">
        <v>5</v>
      </c>
      <c r="B56" s="8">
        <v>3</v>
      </c>
      <c r="C56" s="8" t="s">
        <v>57</v>
      </c>
      <c r="D56" s="8" t="s">
        <v>71</v>
      </c>
      <c r="E56" s="8">
        <v>3</v>
      </c>
      <c r="F56" s="9">
        <v>3.14</v>
      </c>
      <c r="G56" s="9">
        <v>1</v>
      </c>
      <c r="H56" s="9">
        <v>35.04</v>
      </c>
      <c r="I56" s="8"/>
      <c r="J56" s="8"/>
      <c r="K56" s="8"/>
      <c r="L56" s="9"/>
      <c r="M56" s="8"/>
      <c r="N56" s="8"/>
      <c r="O56" s="9"/>
    </row>
    <row r="57" spans="1:15" ht="18" customHeight="1">
      <c r="A57" s="1">
        <v>5</v>
      </c>
      <c r="B57" s="1">
        <v>3</v>
      </c>
      <c r="C57" s="1" t="s">
        <v>57</v>
      </c>
      <c r="D57" s="1" t="s">
        <v>72</v>
      </c>
      <c r="E57" s="1">
        <v>3</v>
      </c>
      <c r="F57" s="6">
        <v>5.65</v>
      </c>
      <c r="G57" s="6">
        <v>0.99</v>
      </c>
      <c r="H57" s="6">
        <v>35.04</v>
      </c>
      <c r="I57" s="1"/>
      <c r="J57" s="1"/>
      <c r="K57" s="1"/>
      <c r="L57" s="6"/>
      <c r="M57" s="1"/>
      <c r="N57" s="1"/>
      <c r="O57" s="6"/>
    </row>
    <row r="58" spans="1:15" ht="18" customHeight="1">
      <c r="A58" s="8">
        <v>6</v>
      </c>
      <c r="B58" s="8">
        <v>3</v>
      </c>
      <c r="C58" s="8" t="s">
        <v>58</v>
      </c>
      <c r="D58" s="8" t="s">
        <v>71</v>
      </c>
      <c r="E58" s="8">
        <v>0</v>
      </c>
      <c r="F58" s="9">
        <v>1.69</v>
      </c>
      <c r="G58" s="9">
        <v>1.1599999999999999</v>
      </c>
      <c r="H58" s="9">
        <v>11.87</v>
      </c>
      <c r="I58" s="8"/>
      <c r="J58" s="8"/>
      <c r="K58" s="8"/>
      <c r="L58" s="9"/>
      <c r="M58" s="8"/>
      <c r="N58" s="8"/>
      <c r="O58" s="9"/>
    </row>
    <row r="59" spans="1:15" ht="18" customHeight="1">
      <c r="A59" s="1">
        <v>6</v>
      </c>
      <c r="B59" s="1">
        <v>3</v>
      </c>
      <c r="C59" s="1" t="s">
        <v>58</v>
      </c>
      <c r="D59" s="1" t="s">
        <v>72</v>
      </c>
      <c r="E59" s="1">
        <v>0</v>
      </c>
      <c r="F59" s="6">
        <v>2.2200000000000002</v>
      </c>
      <c r="G59" s="6">
        <v>1</v>
      </c>
      <c r="H59" s="6">
        <v>12.17</v>
      </c>
      <c r="I59" s="1"/>
      <c r="J59" s="1"/>
      <c r="K59" s="1"/>
      <c r="L59" s="6"/>
      <c r="M59" s="1"/>
      <c r="N59" s="1"/>
      <c r="O59" s="6"/>
    </row>
    <row r="60" spans="1:15" ht="18" customHeight="1">
      <c r="A60" s="8">
        <v>6</v>
      </c>
      <c r="B60" s="8">
        <v>3</v>
      </c>
      <c r="C60" s="8" t="s">
        <v>58</v>
      </c>
      <c r="D60" s="8" t="s">
        <v>71</v>
      </c>
      <c r="E60" s="8">
        <v>1</v>
      </c>
      <c r="F60" s="9">
        <v>1.73</v>
      </c>
      <c r="G60" s="9">
        <v>1</v>
      </c>
      <c r="H60" s="9">
        <v>12.46</v>
      </c>
      <c r="I60" s="8"/>
      <c r="J60" s="8"/>
      <c r="K60" s="8"/>
      <c r="L60" s="9"/>
      <c r="M60" s="8"/>
      <c r="N60" s="8"/>
      <c r="O60" s="9"/>
    </row>
    <row r="61" spans="1:15" ht="18" customHeight="1">
      <c r="A61" s="1">
        <v>6</v>
      </c>
      <c r="B61" s="1">
        <v>3</v>
      </c>
      <c r="C61" s="1" t="s">
        <v>58</v>
      </c>
      <c r="D61" s="1" t="s">
        <v>72</v>
      </c>
      <c r="E61" s="1">
        <v>1</v>
      </c>
      <c r="F61" s="6">
        <v>2.15</v>
      </c>
      <c r="G61" s="6">
        <v>0.99</v>
      </c>
      <c r="H61" s="6">
        <v>13.47</v>
      </c>
      <c r="I61" s="1"/>
      <c r="J61" s="1"/>
      <c r="K61" s="1"/>
      <c r="L61" s="6"/>
      <c r="M61" s="1"/>
      <c r="N61" s="1"/>
      <c r="O61" s="6"/>
    </row>
    <row r="62" spans="1:15" ht="18" customHeight="1">
      <c r="A62" s="8">
        <v>6</v>
      </c>
      <c r="B62" s="8">
        <v>3</v>
      </c>
      <c r="C62" s="8" t="s">
        <v>58</v>
      </c>
      <c r="D62" s="8" t="s">
        <v>71</v>
      </c>
      <c r="E62" s="8">
        <v>2</v>
      </c>
      <c r="F62" s="9">
        <v>0.94</v>
      </c>
      <c r="G62" s="9">
        <v>1</v>
      </c>
      <c r="H62" s="9">
        <v>13.48</v>
      </c>
      <c r="I62" s="8"/>
      <c r="J62" s="8"/>
      <c r="K62" s="8"/>
      <c r="L62" s="9"/>
      <c r="M62" s="8"/>
      <c r="N62" s="8"/>
      <c r="O62" s="9"/>
    </row>
    <row r="63" spans="1:15" ht="18" customHeight="1">
      <c r="A63" s="1">
        <v>6</v>
      </c>
      <c r="B63" s="1">
        <v>3</v>
      </c>
      <c r="C63" s="1" t="s">
        <v>58</v>
      </c>
      <c r="D63" s="1" t="s">
        <v>72</v>
      </c>
      <c r="E63" s="1">
        <v>2</v>
      </c>
      <c r="F63" s="6">
        <v>2.11</v>
      </c>
      <c r="G63" s="6">
        <v>0.99</v>
      </c>
      <c r="H63" s="6">
        <v>14.38</v>
      </c>
      <c r="I63" s="1"/>
      <c r="J63" s="1"/>
      <c r="K63" s="1"/>
      <c r="L63" s="6"/>
      <c r="M63" s="1"/>
      <c r="N63" s="1"/>
      <c r="O63" s="6"/>
    </row>
    <row r="64" spans="1:15" ht="18" customHeight="1">
      <c r="A64" s="8">
        <v>6</v>
      </c>
      <c r="B64" s="8">
        <v>3</v>
      </c>
      <c r="C64" s="8" t="s">
        <v>58</v>
      </c>
      <c r="D64" s="8" t="s">
        <v>71</v>
      </c>
      <c r="E64" s="8">
        <v>3</v>
      </c>
      <c r="F64" s="9">
        <v>1.31</v>
      </c>
      <c r="G64" s="9">
        <v>1</v>
      </c>
      <c r="H64" s="9">
        <v>14.39</v>
      </c>
      <c r="I64" s="8"/>
      <c r="J64" s="8"/>
      <c r="K64" s="8"/>
      <c r="L64" s="9"/>
      <c r="M64" s="8"/>
      <c r="N64" s="8"/>
      <c r="O64" s="9"/>
    </row>
    <row r="65" spans="1:15" ht="18" customHeight="1">
      <c r="A65" s="1">
        <v>6</v>
      </c>
      <c r="B65" s="1">
        <v>3</v>
      </c>
      <c r="C65" s="1" t="s">
        <v>58</v>
      </c>
      <c r="D65" s="1" t="s">
        <v>72</v>
      </c>
      <c r="E65" s="1">
        <v>3</v>
      </c>
      <c r="F65" s="6">
        <v>2.0099999999999998</v>
      </c>
      <c r="G65" s="6">
        <v>0.99</v>
      </c>
      <c r="H65" s="6">
        <v>14.39</v>
      </c>
      <c r="I65" s="1"/>
      <c r="J65" s="1"/>
      <c r="K65" s="1"/>
      <c r="L65" s="6"/>
      <c r="M65" s="1"/>
      <c r="N65" s="1"/>
      <c r="O65" s="6"/>
    </row>
    <row r="66" spans="1:15" ht="18" customHeight="1">
      <c r="A66" s="8">
        <v>7</v>
      </c>
      <c r="B66" s="8">
        <v>4</v>
      </c>
      <c r="C66" s="8" t="s">
        <v>57</v>
      </c>
      <c r="D66" s="8" t="s">
        <v>73</v>
      </c>
      <c r="E66" s="8">
        <v>0</v>
      </c>
      <c r="F66" s="9">
        <v>1575.75</v>
      </c>
      <c r="G66" s="9">
        <v>0.3</v>
      </c>
      <c r="H66" s="9">
        <v>26.64</v>
      </c>
      <c r="I66" s="8"/>
      <c r="J66" s="8"/>
      <c r="K66" s="8"/>
      <c r="L66" s="9"/>
      <c r="M66" s="8">
        <v>0</v>
      </c>
      <c r="N66" s="8">
        <v>12</v>
      </c>
      <c r="O66" s="9">
        <v>13.42</v>
      </c>
    </row>
    <row r="67" spans="1:15" ht="18" customHeight="1">
      <c r="A67" s="1">
        <v>7</v>
      </c>
      <c r="B67" s="1">
        <v>4</v>
      </c>
      <c r="C67" s="1" t="s">
        <v>57</v>
      </c>
      <c r="D67" s="1" t="s">
        <v>73</v>
      </c>
      <c r="E67" s="1">
        <v>1</v>
      </c>
      <c r="F67" s="6">
        <v>1574.91</v>
      </c>
      <c r="G67" s="6">
        <v>0.26</v>
      </c>
      <c r="H67" s="6">
        <v>27.71</v>
      </c>
      <c r="I67" s="1"/>
      <c r="J67" s="1"/>
      <c r="K67" s="1"/>
      <c r="L67" s="6"/>
      <c r="M67" s="1">
        <v>12</v>
      </c>
      <c r="N67" s="1">
        <v>12</v>
      </c>
      <c r="O67" s="6">
        <v>0</v>
      </c>
    </row>
    <row r="68" spans="1:15" ht="18" customHeight="1">
      <c r="A68" s="8">
        <v>7</v>
      </c>
      <c r="B68" s="8">
        <v>4</v>
      </c>
      <c r="C68" s="8" t="s">
        <v>57</v>
      </c>
      <c r="D68" s="8" t="s">
        <v>73</v>
      </c>
      <c r="E68" s="8">
        <v>2</v>
      </c>
      <c r="F68" s="9">
        <v>1579.94</v>
      </c>
      <c r="G68" s="9">
        <v>0.26</v>
      </c>
      <c r="H68" s="9">
        <v>27.63</v>
      </c>
      <c r="I68" s="8"/>
      <c r="J68" s="8"/>
      <c r="K68" s="8"/>
      <c r="L68" s="9"/>
      <c r="M68" s="8">
        <v>12</v>
      </c>
      <c r="N68" s="8">
        <v>12</v>
      </c>
      <c r="O68" s="9">
        <v>0</v>
      </c>
    </row>
    <row r="69" spans="1:15" ht="18" customHeight="1">
      <c r="A69" s="1">
        <v>7</v>
      </c>
      <c r="B69" s="1">
        <v>4</v>
      </c>
      <c r="C69" s="1" t="s">
        <v>57</v>
      </c>
      <c r="D69" s="1" t="s">
        <v>73</v>
      </c>
      <c r="E69" s="1">
        <v>3</v>
      </c>
      <c r="F69" s="6">
        <v>1585.98</v>
      </c>
      <c r="G69" s="6">
        <v>0.26</v>
      </c>
      <c r="H69" s="6">
        <v>27.41</v>
      </c>
      <c r="I69" s="1"/>
      <c r="J69" s="1"/>
      <c r="K69" s="1"/>
      <c r="L69" s="6"/>
      <c r="M69" s="1">
        <v>12</v>
      </c>
      <c r="N69" s="1">
        <v>12</v>
      </c>
      <c r="O69" s="6">
        <v>0</v>
      </c>
    </row>
    <row r="70" spans="1:15" ht="18" customHeight="1">
      <c r="A70" s="8">
        <v>8</v>
      </c>
      <c r="B70" s="8">
        <v>4</v>
      </c>
      <c r="C70" s="8" t="s">
        <v>58</v>
      </c>
      <c r="D70" s="8" t="s">
        <v>73</v>
      </c>
      <c r="E70" s="8">
        <v>0</v>
      </c>
      <c r="F70" s="9">
        <v>1596.92</v>
      </c>
      <c r="G70" s="9">
        <v>0.28999999999999998</v>
      </c>
      <c r="H70" s="9">
        <v>10.07</v>
      </c>
      <c r="I70" s="8"/>
      <c r="J70" s="8"/>
      <c r="K70" s="8"/>
      <c r="L70" s="9"/>
      <c r="M70" s="8">
        <v>0</v>
      </c>
      <c r="N70" s="8">
        <v>8</v>
      </c>
      <c r="O70" s="9">
        <v>48.19</v>
      </c>
    </row>
    <row r="71" spans="1:15" ht="18" customHeight="1">
      <c r="A71" s="1">
        <v>8</v>
      </c>
      <c r="B71" s="1">
        <v>4</v>
      </c>
      <c r="C71" s="1" t="s">
        <v>58</v>
      </c>
      <c r="D71" s="1" t="s">
        <v>73</v>
      </c>
      <c r="E71" s="1">
        <v>1</v>
      </c>
      <c r="F71" s="6">
        <v>1586.63</v>
      </c>
      <c r="G71" s="6">
        <v>0.26</v>
      </c>
      <c r="H71" s="6">
        <v>10.38</v>
      </c>
      <c r="I71" s="1"/>
      <c r="J71" s="1"/>
      <c r="K71" s="1"/>
      <c r="L71" s="6"/>
      <c r="M71" s="1">
        <v>8</v>
      </c>
      <c r="N71" s="1">
        <v>8</v>
      </c>
      <c r="O71" s="6">
        <v>0</v>
      </c>
    </row>
    <row r="72" spans="1:15" ht="18" customHeight="1">
      <c r="A72" s="8">
        <v>8</v>
      </c>
      <c r="B72" s="8">
        <v>4</v>
      </c>
      <c r="C72" s="8" t="s">
        <v>58</v>
      </c>
      <c r="D72" s="8" t="s">
        <v>73</v>
      </c>
      <c r="E72" s="8">
        <v>2</v>
      </c>
      <c r="F72" s="9">
        <v>1581.39</v>
      </c>
      <c r="G72" s="9">
        <v>0.26</v>
      </c>
      <c r="H72" s="9">
        <v>10.4</v>
      </c>
      <c r="I72" s="8"/>
      <c r="J72" s="8"/>
      <c r="K72" s="8"/>
      <c r="L72" s="9"/>
      <c r="M72" s="8">
        <v>8</v>
      </c>
      <c r="N72" s="8">
        <v>8</v>
      </c>
      <c r="O72" s="9">
        <v>0</v>
      </c>
    </row>
    <row r="73" spans="1:15" ht="18" customHeight="1">
      <c r="A73" s="1">
        <v>8</v>
      </c>
      <c r="B73" s="1">
        <v>4</v>
      </c>
      <c r="C73" s="1" t="s">
        <v>58</v>
      </c>
      <c r="D73" s="1" t="s">
        <v>73</v>
      </c>
      <c r="E73" s="1">
        <v>3</v>
      </c>
      <c r="F73" s="6">
        <v>1590.06</v>
      </c>
      <c r="G73" s="6">
        <v>0.26</v>
      </c>
      <c r="H73" s="6">
        <v>10.4</v>
      </c>
      <c r="I73" s="1"/>
      <c r="J73" s="1"/>
      <c r="K73" s="1"/>
      <c r="L73" s="6"/>
      <c r="M73" s="1">
        <v>8</v>
      </c>
      <c r="N73" s="1">
        <v>8</v>
      </c>
      <c r="O73" s="6">
        <v>0</v>
      </c>
    </row>
    <row r="74" spans="1:15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1" t="s">
        <v>87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1" t="s">
        <v>88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3" t="s">
        <v>48</v>
      </c>
      <c r="B80" s="13" t="s">
        <v>57</v>
      </c>
      <c r="C80" s="13" t="s">
        <v>58</v>
      </c>
      <c r="D80" s="1"/>
      <c r="E80" s="7" t="s">
        <v>48</v>
      </c>
      <c r="F80" s="7" t="s">
        <v>57</v>
      </c>
      <c r="G80" s="7" t="s">
        <v>58</v>
      </c>
      <c r="H80" s="1"/>
      <c r="I80" s="12" t="s">
        <v>48</v>
      </c>
      <c r="J80" s="12" t="s">
        <v>57</v>
      </c>
      <c r="K80" s="12" t="s">
        <v>58</v>
      </c>
      <c r="L80" s="1"/>
      <c r="M80" s="1"/>
      <c r="N80" s="1"/>
      <c r="O80" s="1"/>
    </row>
    <row r="81" spans="1:15" ht="18" customHeight="1">
      <c r="A81" s="13" t="s">
        <v>22</v>
      </c>
      <c r="B81" s="13">
        <f>D6</f>
        <v>664.95</v>
      </c>
      <c r="C81" s="13">
        <f>D7</f>
        <v>663.04</v>
      </c>
      <c r="D81" s="1"/>
      <c r="E81" s="7" t="s">
        <v>22</v>
      </c>
      <c r="F81" s="7">
        <f>E6</f>
        <v>8715</v>
      </c>
      <c r="G81" s="7">
        <f>E7</f>
        <v>9957</v>
      </c>
      <c r="H81" s="1"/>
      <c r="I81" s="12" t="s">
        <v>22</v>
      </c>
      <c r="J81" s="12">
        <f>C6</f>
        <v>31.13</v>
      </c>
      <c r="K81" s="12">
        <f>C7</f>
        <v>6.98</v>
      </c>
      <c r="L81" s="1"/>
      <c r="M81" s="1"/>
      <c r="N81" s="1"/>
      <c r="O81" s="1"/>
    </row>
    <row r="82" spans="1:15" ht="18" customHeight="1">
      <c r="A82" s="13" t="s">
        <v>24</v>
      </c>
      <c r="B82" s="13">
        <f>D8</f>
        <v>654.03</v>
      </c>
      <c r="C82" s="13">
        <f>D9</f>
        <v>655.63</v>
      </c>
      <c r="D82" s="1"/>
      <c r="E82" s="7" t="s">
        <v>24</v>
      </c>
      <c r="F82" s="7">
        <f>E8</f>
        <v>7160</v>
      </c>
      <c r="G82" s="7">
        <f>E9</f>
        <v>7608</v>
      </c>
      <c r="H82" s="1"/>
      <c r="I82" s="12" t="s">
        <v>24</v>
      </c>
      <c r="J82" s="12">
        <f>C8</f>
        <v>31.53</v>
      </c>
      <c r="K82" s="12">
        <f>C9</f>
        <v>6.76</v>
      </c>
      <c r="L82" s="1"/>
      <c r="M82" s="1"/>
      <c r="N82" s="1"/>
      <c r="O82" s="1"/>
    </row>
    <row r="83" spans="1:15" ht="18" customHeight="1">
      <c r="A83" s="13" t="s">
        <v>89</v>
      </c>
      <c r="B83" s="13">
        <f>D10</f>
        <v>665.29</v>
      </c>
      <c r="C83" s="13">
        <f>D11</f>
        <v>658.52</v>
      </c>
      <c r="D83" s="1"/>
      <c r="E83" s="7" t="s">
        <v>89</v>
      </c>
      <c r="F83" s="7">
        <f>E10</f>
        <v>1441</v>
      </c>
      <c r="G83" s="7">
        <f>E11</f>
        <v>3185</v>
      </c>
      <c r="H83" s="1"/>
      <c r="I83" s="12" t="s">
        <v>89</v>
      </c>
      <c r="J83" s="12">
        <f>C10</f>
        <v>32.03</v>
      </c>
      <c r="K83" s="12">
        <f>C11</f>
        <v>7</v>
      </c>
      <c r="L83" s="1"/>
      <c r="M83" s="1"/>
      <c r="N83" s="1"/>
      <c r="O83" s="1"/>
    </row>
    <row r="84" spans="1:15" ht="18" customHeight="1">
      <c r="A84" s="13" t="s">
        <v>30</v>
      </c>
      <c r="B84" s="13">
        <f>D12</f>
        <v>5249.71</v>
      </c>
      <c r="C84" s="13">
        <f>D13</f>
        <v>5257.4</v>
      </c>
      <c r="D84" s="1"/>
      <c r="E84" s="7" t="s">
        <v>30</v>
      </c>
      <c r="F84" s="7">
        <f>E12</f>
        <v>32</v>
      </c>
      <c r="G84" s="7">
        <f>E13</f>
        <v>32</v>
      </c>
      <c r="H84" s="1"/>
      <c r="I84" s="12" t="s">
        <v>30</v>
      </c>
      <c r="J84" s="12">
        <f>C12</f>
        <v>30.42</v>
      </c>
      <c r="K84" s="12">
        <f>C13</f>
        <v>7.04</v>
      </c>
      <c r="L84" s="1"/>
      <c r="M84" s="1"/>
      <c r="N84" s="1"/>
      <c r="O84" s="1"/>
    </row>
    <row r="85" spans="1:15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 t="s">
        <v>48</v>
      </c>
      <c r="B88" s="1" t="s">
        <v>90</v>
      </c>
      <c r="C88" s="1" t="s">
        <v>58</v>
      </c>
      <c r="D88" s="1"/>
      <c r="E88" s="12" t="s">
        <v>48</v>
      </c>
      <c r="F88" s="12" t="s">
        <v>57</v>
      </c>
      <c r="G88" s="12" t="s">
        <v>58</v>
      </c>
      <c r="H88" s="1"/>
      <c r="I88" s="12" t="s">
        <v>48</v>
      </c>
      <c r="J88" s="12" t="s">
        <v>57</v>
      </c>
      <c r="K88" s="12" t="s">
        <v>58</v>
      </c>
      <c r="L88" s="1"/>
      <c r="M88" s="1"/>
      <c r="N88" s="1"/>
      <c r="O88" s="1"/>
    </row>
    <row r="89" spans="1:15" ht="18" customHeight="1">
      <c r="A89" s="1" t="s">
        <v>22</v>
      </c>
      <c r="B89" s="13">
        <f>E20/E20*100</f>
        <v>100</v>
      </c>
      <c r="C89" s="12">
        <f>E21/E20*100</f>
        <v>90.639514112182923</v>
      </c>
      <c r="D89" s="1"/>
      <c r="E89" s="12" t="s">
        <v>22</v>
      </c>
      <c r="F89" s="12">
        <f>H6</f>
        <v>24.49</v>
      </c>
      <c r="G89" s="12">
        <f>H7</f>
        <v>11.84</v>
      </c>
      <c r="H89" s="1"/>
      <c r="I89" s="12" t="s">
        <v>22</v>
      </c>
      <c r="J89" s="12">
        <f>G6</f>
        <v>67.62</v>
      </c>
      <c r="K89" s="12">
        <f>G7</f>
        <v>1.82</v>
      </c>
      <c r="L89" s="1"/>
      <c r="M89" s="1"/>
      <c r="N89" s="1"/>
      <c r="O89" s="1"/>
    </row>
    <row r="90" spans="1:15" ht="18" customHeight="1">
      <c r="A90" s="1" t="s">
        <v>24</v>
      </c>
      <c r="B90" s="13">
        <f>E22/E22*100</f>
        <v>100</v>
      </c>
      <c r="C90" s="12">
        <f>E23/E22*100</f>
        <v>85.294117647058826</v>
      </c>
      <c r="D90" s="1"/>
      <c r="E90" s="12" t="s">
        <v>24</v>
      </c>
      <c r="F90" s="12">
        <f>H8</f>
        <v>31.26</v>
      </c>
      <c r="G90" s="12">
        <f>H9</f>
        <v>18.489999999999998</v>
      </c>
      <c r="H90" s="1"/>
      <c r="I90" s="12" t="s">
        <v>24</v>
      </c>
      <c r="J90" s="12">
        <f>G8</f>
        <v>67.62</v>
      </c>
      <c r="K90" s="12">
        <f>G9</f>
        <v>1.82</v>
      </c>
      <c r="L90" s="1"/>
      <c r="M90" s="1"/>
      <c r="N90" s="1"/>
      <c r="O90" s="1"/>
    </row>
    <row r="91" spans="1:15" ht="18" customHeight="1">
      <c r="A91" s="1" t="s">
        <v>26</v>
      </c>
      <c r="B91" s="13">
        <f>E24/E24*100</f>
        <v>100</v>
      </c>
      <c r="C91" s="12">
        <f>E26/E24*100</f>
        <v>43.959731543624166</v>
      </c>
      <c r="D91" s="1"/>
      <c r="E91" s="12" t="s">
        <v>89</v>
      </c>
      <c r="F91" s="12">
        <f>H10</f>
        <v>39.85</v>
      </c>
      <c r="G91" s="12">
        <f>H11</f>
        <v>14.39</v>
      </c>
      <c r="H91" s="1"/>
      <c r="I91" s="12" t="s">
        <v>89</v>
      </c>
      <c r="J91" s="12">
        <f>G10</f>
        <v>67.64</v>
      </c>
      <c r="K91" s="12">
        <f>G11</f>
        <v>2.87</v>
      </c>
      <c r="L91" s="1"/>
      <c r="M91" s="1"/>
      <c r="N91" s="1"/>
      <c r="O91" s="1"/>
    </row>
    <row r="92" spans="1:15" ht="18" customHeight="1">
      <c r="A92" s="1" t="s">
        <v>28</v>
      </c>
      <c r="B92" s="13">
        <f>E25/E25*100</f>
        <v>100</v>
      </c>
      <c r="C92" s="12">
        <f>E27/E25*100</f>
        <v>40.970873786407765</v>
      </c>
      <c r="D92" s="1"/>
      <c r="E92" s="12" t="s">
        <v>30</v>
      </c>
      <c r="F92" s="12">
        <f>H12</f>
        <v>27.71</v>
      </c>
      <c r="G92" s="12">
        <f>H13</f>
        <v>10.41</v>
      </c>
      <c r="H92" s="1"/>
      <c r="I92" s="12" t="s">
        <v>30</v>
      </c>
      <c r="J92" s="12">
        <f>G12</f>
        <v>67.62</v>
      </c>
      <c r="K92" s="12">
        <f>G13</f>
        <v>1.9</v>
      </c>
      <c r="L92" s="1"/>
      <c r="M92" s="1"/>
      <c r="N92" s="1"/>
      <c r="O92" s="1"/>
    </row>
    <row r="93" spans="1:15" ht="18" customHeight="1">
      <c r="A93" s="1" t="s">
        <v>30</v>
      </c>
      <c r="B93" s="13">
        <f>E28/E28*100</f>
        <v>100</v>
      </c>
      <c r="C93" s="12">
        <f>E29/E28*100</f>
        <v>100.42343380128361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Діаграми</vt:lpstr>
      <vt:lpstr>Дані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</cp:lastModifiedBy>
  <dcterms:modified xsi:type="dcterms:W3CDTF">2026-10-13T20:06:48Z</dcterms:modified>
</cp:coreProperties>
</file>